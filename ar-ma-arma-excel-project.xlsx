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eraestiana_student_telkomuniversity_ac_id/Documents/"/>
    </mc:Choice>
  </mc:AlternateContent>
  <xr:revisionPtr revIDLastSave="0" documentId="8_{DBA8C48C-D189-445C-B0B2-E7EDCF7FDD83}" xr6:coauthVersionLast="47" xr6:coauthVersionMax="47" xr10:uidLastSave="{00000000-0000-0000-0000-000000000000}"/>
  <bookViews>
    <workbookView xWindow="-110" yWindow="-110" windowWidth="19420" windowHeight="11500" firstSheet="4" activeTab="4" xr2:uid="{8590B247-92A7-46D7-80C6-C1D515C3E235}"/>
  </bookViews>
  <sheets>
    <sheet name="ARMA(2,1)" sheetId="1" r:id="rId1"/>
    <sheet name="AR(2) MA(0)" sheetId="2" r:id="rId2"/>
    <sheet name="MA(1) AR(0)" sheetId="4" r:id="rId3"/>
    <sheet name="Metode_Moment" sheetId="6" r:id="rId4"/>
    <sheet name="Airlines" sheetId="8" r:id="rId5"/>
    <sheet name="Lembar2" sheetId="7" r:id="rId6"/>
    <sheet name="versi 3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 a="1"/>
  <c r="E2" i="8"/>
  <c r="K2" i="6" a="1"/>
  <c r="K2" i="6" s="1"/>
  <c r="E134" i="8" a="1"/>
  <c r="E134" i="8" s="1"/>
  <c r="E122" i="8" a="1"/>
  <c r="E122" i="8" s="1"/>
  <c r="E110" i="8" a="1"/>
  <c r="E110" i="8" s="1"/>
  <c r="E98" i="8" a="1"/>
  <c r="E98" i="8" s="1"/>
  <c r="E86" i="8" a="1"/>
  <c r="E86" i="8" s="1"/>
  <c r="E74" i="8" a="1"/>
  <c r="E74" i="8" s="1"/>
  <c r="E62" i="8" a="1"/>
  <c r="E62" i="8" s="1"/>
  <c r="E50" i="8" a="1"/>
  <c r="E50" i="8" s="1"/>
  <c r="E38" i="8" a="1"/>
  <c r="E38" i="8" s="1"/>
  <c r="E26" i="8" a="1"/>
  <c r="E26" i="8" s="1"/>
  <c r="E14" i="8" a="1"/>
  <c r="E14" i="8" s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M3" i="6"/>
  <c r="L4" i="6"/>
  <c r="L5" i="6"/>
  <c r="L6" i="6"/>
  <c r="L7" i="6"/>
  <c r="L8" i="6"/>
  <c r="N8" i="6" s="1"/>
  <c r="L9" i="6"/>
  <c r="N9" i="6" s="1"/>
  <c r="L10" i="6"/>
  <c r="L11" i="6"/>
  <c r="L12" i="6"/>
  <c r="N12" i="6" s="1"/>
  <c r="L13" i="6"/>
  <c r="L14" i="6"/>
  <c r="N14" i="6" s="1"/>
  <c r="L15" i="6"/>
  <c r="N15" i="6" s="1"/>
  <c r="L16" i="6"/>
  <c r="L17" i="6"/>
  <c r="L18" i="6"/>
  <c r="L19" i="6"/>
  <c r="L20" i="6"/>
  <c r="N20" i="6" s="1"/>
  <c r="L21" i="6"/>
  <c r="N21" i="6" s="1"/>
  <c r="L22" i="6"/>
  <c r="N22" i="6" s="1"/>
  <c r="L23" i="6"/>
  <c r="N23" i="6" s="1"/>
  <c r="L24" i="6"/>
  <c r="N24" i="6" s="1"/>
  <c r="L25" i="6"/>
  <c r="L26" i="6"/>
  <c r="N26" i="6" s="1"/>
  <c r="L27" i="6"/>
  <c r="N27" i="6" s="1"/>
  <c r="L28" i="6"/>
  <c r="L29" i="6"/>
  <c r="L30" i="6"/>
  <c r="L31" i="6"/>
  <c r="L32" i="6"/>
  <c r="N32" i="6" s="1"/>
  <c r="L33" i="6"/>
  <c r="N33" i="6" s="1"/>
  <c r="L34" i="6"/>
  <c r="N34" i="6" s="1"/>
  <c r="L35" i="6"/>
  <c r="N35" i="6" s="1"/>
  <c r="L36" i="6"/>
  <c r="N36" i="6" s="1"/>
  <c r="L37" i="6"/>
  <c r="L38" i="6"/>
  <c r="N38" i="6" s="1"/>
  <c r="L39" i="6"/>
  <c r="N39" i="6" s="1"/>
  <c r="L40" i="6"/>
  <c r="L41" i="6"/>
  <c r="L42" i="6"/>
  <c r="L43" i="6"/>
  <c r="L44" i="6"/>
  <c r="N44" i="6" s="1"/>
  <c r="L45" i="6"/>
  <c r="N45" i="6" s="1"/>
  <c r="L46" i="6"/>
  <c r="N46" i="6" s="1"/>
  <c r="L47" i="6"/>
  <c r="N47" i="6" s="1"/>
  <c r="L48" i="6"/>
  <c r="N48" i="6" s="1"/>
  <c r="L49" i="6"/>
  <c r="L50" i="6"/>
  <c r="N50" i="6" s="1"/>
  <c r="L51" i="6"/>
  <c r="N51" i="6" s="1"/>
  <c r="L52" i="6"/>
  <c r="L53" i="6"/>
  <c r="L54" i="6"/>
  <c r="L55" i="6"/>
  <c r="L56" i="6"/>
  <c r="N56" i="6" s="1"/>
  <c r="L57" i="6"/>
  <c r="N57" i="6" s="1"/>
  <c r="L58" i="6"/>
  <c r="N58" i="6" s="1"/>
  <c r="L59" i="6"/>
  <c r="N59" i="6" s="1"/>
  <c r="L60" i="6"/>
  <c r="N60" i="6" s="1"/>
  <c r="L61" i="6"/>
  <c r="L62" i="6"/>
  <c r="N62" i="6" s="1"/>
  <c r="L63" i="6"/>
  <c r="N63" i="6" s="1"/>
  <c r="L64" i="6"/>
  <c r="L65" i="6"/>
  <c r="L66" i="6"/>
  <c r="L67" i="6"/>
  <c r="L68" i="6"/>
  <c r="N68" i="6" s="1"/>
  <c r="L69" i="6"/>
  <c r="N69" i="6" s="1"/>
  <c r="L70" i="6"/>
  <c r="N70" i="6" s="1"/>
  <c r="L71" i="6"/>
  <c r="N71" i="6" s="1"/>
  <c r="L72" i="6"/>
  <c r="N72" i="6" s="1"/>
  <c r="L73" i="6"/>
  <c r="L74" i="6"/>
  <c r="N74" i="6" s="1"/>
  <c r="L75" i="6"/>
  <c r="N75" i="6" s="1"/>
  <c r="L76" i="6"/>
  <c r="L77" i="6"/>
  <c r="L78" i="6"/>
  <c r="L79" i="6"/>
  <c r="L80" i="6"/>
  <c r="N80" i="6" s="1"/>
  <c r="L81" i="6"/>
  <c r="N81" i="6" s="1"/>
  <c r="L82" i="6"/>
  <c r="N82" i="6" s="1"/>
  <c r="L83" i="6"/>
  <c r="N83" i="6" s="1"/>
  <c r="L84" i="6"/>
  <c r="N84" i="6" s="1"/>
  <c r="L85" i="6"/>
  <c r="L86" i="6"/>
  <c r="N86" i="6" s="1"/>
  <c r="L87" i="6"/>
  <c r="N87" i="6" s="1"/>
  <c r="L88" i="6"/>
  <c r="L89" i="6"/>
  <c r="L90" i="6"/>
  <c r="L91" i="6"/>
  <c r="L92" i="6"/>
  <c r="N92" i="6" s="1"/>
  <c r="L93" i="6"/>
  <c r="N93" i="6" s="1"/>
  <c r="L94" i="6"/>
  <c r="N94" i="6" s="1"/>
  <c r="L95" i="6"/>
  <c r="N95" i="6" s="1"/>
  <c r="L96" i="6"/>
  <c r="N96" i="6" s="1"/>
  <c r="L97" i="6"/>
  <c r="L98" i="6"/>
  <c r="N98" i="6" s="1"/>
  <c r="L99" i="6"/>
  <c r="N99" i="6" s="1"/>
  <c r="L100" i="6"/>
  <c r="L101" i="6"/>
  <c r="L102" i="6"/>
  <c r="L103" i="6"/>
  <c r="L104" i="6"/>
  <c r="N104" i="6" s="1"/>
  <c r="L105" i="6"/>
  <c r="N105" i="6" s="1"/>
  <c r="L106" i="6"/>
  <c r="N106" i="6" s="1"/>
  <c r="L107" i="6"/>
  <c r="N107" i="6" s="1"/>
  <c r="L108" i="6"/>
  <c r="N108" i="6" s="1"/>
  <c r="L109" i="6"/>
  <c r="L110" i="6"/>
  <c r="N110" i="6" s="1"/>
  <c r="L111" i="6"/>
  <c r="N111" i="6" s="1"/>
  <c r="L112" i="6"/>
  <c r="L113" i="6"/>
  <c r="L114" i="6"/>
  <c r="L115" i="6"/>
  <c r="L116" i="6"/>
  <c r="N116" i="6" s="1"/>
  <c r="L117" i="6"/>
  <c r="N117" i="6" s="1"/>
  <c r="L118" i="6"/>
  <c r="N118" i="6" s="1"/>
  <c r="L119" i="6"/>
  <c r="N119" i="6" s="1"/>
  <c r="L120" i="6"/>
  <c r="N120" i="6" s="1"/>
  <c r="L121" i="6"/>
  <c r="L122" i="6"/>
  <c r="N122" i="6" s="1"/>
  <c r="L123" i="6"/>
  <c r="N123" i="6" s="1"/>
  <c r="L124" i="6"/>
  <c r="L125" i="6"/>
  <c r="L126" i="6"/>
  <c r="L127" i="6"/>
  <c r="L128" i="6"/>
  <c r="N128" i="6" s="1"/>
  <c r="L129" i="6"/>
  <c r="N129" i="6" s="1"/>
  <c r="L130" i="6"/>
  <c r="N130" i="6" s="1"/>
  <c r="L131" i="6"/>
  <c r="N131" i="6" s="1"/>
  <c r="L132" i="6"/>
  <c r="N132" i="6" s="1"/>
  <c r="L133" i="6"/>
  <c r="L134" i="6"/>
  <c r="N134" i="6" s="1"/>
  <c r="L135" i="6"/>
  <c r="N135" i="6" s="1"/>
  <c r="L136" i="6"/>
  <c r="N136" i="6" s="1"/>
  <c r="L137" i="6"/>
  <c r="L138" i="6"/>
  <c r="L139" i="6"/>
  <c r="L140" i="6"/>
  <c r="N140" i="6" s="1"/>
  <c r="L141" i="6"/>
  <c r="N141" i="6" s="1"/>
  <c r="L142" i="6"/>
  <c r="N142" i="6" s="1"/>
  <c r="L143" i="6"/>
  <c r="N143" i="6" s="1"/>
  <c r="L144" i="6"/>
  <c r="N144" i="6" s="1"/>
  <c r="L145" i="6"/>
  <c r="L146" i="6"/>
  <c r="N146" i="6" s="1"/>
  <c r="L147" i="6"/>
  <c r="N147" i="6" s="1"/>
  <c r="L148" i="6"/>
  <c r="N148" i="6" s="1"/>
  <c r="L149" i="6"/>
  <c r="L150" i="6"/>
  <c r="L151" i="6"/>
  <c r="L152" i="6"/>
  <c r="N152" i="6" s="1"/>
  <c r="L153" i="6"/>
  <c r="N153" i="6" s="1"/>
  <c r="L154" i="6"/>
  <c r="N154" i="6" s="1"/>
  <c r="L155" i="6"/>
  <c r="N155" i="6" s="1"/>
  <c r="L156" i="6"/>
  <c r="N156" i="6" s="1"/>
  <c r="L157" i="6"/>
  <c r="L158" i="6"/>
  <c r="N158" i="6" s="1"/>
  <c r="L159" i="6"/>
  <c r="N159" i="6" s="1"/>
  <c r="L160" i="6"/>
  <c r="N160" i="6" s="1"/>
  <c r="L161" i="6"/>
  <c r="L162" i="6"/>
  <c r="L163" i="6"/>
  <c r="L164" i="6"/>
  <c r="N164" i="6" s="1"/>
  <c r="L165" i="6"/>
  <c r="N165" i="6" s="1"/>
  <c r="L166" i="6"/>
  <c r="N166" i="6" s="1"/>
  <c r="L167" i="6"/>
  <c r="N167" i="6" s="1"/>
  <c r="L168" i="6"/>
  <c r="N168" i="6" s="1"/>
  <c r="L169" i="6"/>
  <c r="L170" i="6"/>
  <c r="N170" i="6" s="1"/>
  <c r="L171" i="6"/>
  <c r="N171" i="6" s="1"/>
  <c r="L172" i="6"/>
  <c r="N172" i="6" s="1"/>
  <c r="L173" i="6"/>
  <c r="L174" i="6"/>
  <c r="L175" i="6"/>
  <c r="L176" i="6"/>
  <c r="N176" i="6" s="1"/>
  <c r="L177" i="6"/>
  <c r="N177" i="6" s="1"/>
  <c r="L178" i="6"/>
  <c r="N178" i="6" s="1"/>
  <c r="L179" i="6"/>
  <c r="N179" i="6" s="1"/>
  <c r="L180" i="6"/>
  <c r="N180" i="6" s="1"/>
  <c r="L181" i="6"/>
  <c r="L182" i="6"/>
  <c r="N182" i="6" s="1"/>
  <c r="L183" i="6"/>
  <c r="N183" i="6" s="1"/>
  <c r="L184" i="6"/>
  <c r="N184" i="6" s="1"/>
  <c r="L185" i="6"/>
  <c r="L186" i="6"/>
  <c r="L187" i="6"/>
  <c r="L188" i="6"/>
  <c r="N188" i="6" s="1"/>
  <c r="L189" i="6"/>
  <c r="N189" i="6" s="1"/>
  <c r="L190" i="6"/>
  <c r="N190" i="6" s="1"/>
  <c r="L191" i="6"/>
  <c r="N191" i="6" s="1"/>
  <c r="L192" i="6"/>
  <c r="N192" i="6" s="1"/>
  <c r="L193" i="6"/>
  <c r="L194" i="6"/>
  <c r="N194" i="6" s="1"/>
  <c r="L195" i="6"/>
  <c r="N195" i="6" s="1"/>
  <c r="L196" i="6"/>
  <c r="N196" i="6" s="1"/>
  <c r="L197" i="6"/>
  <c r="L198" i="6"/>
  <c r="L199" i="6"/>
  <c r="L200" i="6"/>
  <c r="N200" i="6" s="1"/>
  <c r="L201" i="6"/>
  <c r="N201" i="6" s="1"/>
  <c r="L202" i="6"/>
  <c r="N202" i="6" s="1"/>
  <c r="L203" i="6"/>
  <c r="N203" i="6" s="1"/>
  <c r="L204" i="6"/>
  <c r="N204" i="6" s="1"/>
  <c r="L205" i="6"/>
  <c r="L206" i="6"/>
  <c r="N206" i="6" s="1"/>
  <c r="L207" i="6"/>
  <c r="N207" i="6" s="1"/>
  <c r="L208" i="6"/>
  <c r="N208" i="6" s="1"/>
  <c r="L209" i="6"/>
  <c r="L210" i="6"/>
  <c r="L211" i="6"/>
  <c r="L212" i="6"/>
  <c r="N212" i="6" s="1"/>
  <c r="L213" i="6"/>
  <c r="N213" i="6" s="1"/>
  <c r="L214" i="6"/>
  <c r="N214" i="6" s="1"/>
  <c r="L215" i="6"/>
  <c r="N215" i="6" s="1"/>
  <c r="L216" i="6"/>
  <c r="N216" i="6" s="1"/>
  <c r="L217" i="6"/>
  <c r="L218" i="6"/>
  <c r="N218" i="6" s="1"/>
  <c r="L219" i="6"/>
  <c r="N219" i="6" s="1"/>
  <c r="L220" i="6"/>
  <c r="N220" i="6" s="1"/>
  <c r="L221" i="6"/>
  <c r="L222" i="6"/>
  <c r="L223" i="6"/>
  <c r="L224" i="6"/>
  <c r="N224" i="6" s="1"/>
  <c r="L225" i="6"/>
  <c r="N225" i="6" s="1"/>
  <c r="L226" i="6"/>
  <c r="N226" i="6" s="1"/>
  <c r="L227" i="6"/>
  <c r="N227" i="6" s="1"/>
  <c r="L228" i="6"/>
  <c r="N228" i="6" s="1"/>
  <c r="L229" i="6"/>
  <c r="L230" i="6"/>
  <c r="N230" i="6" s="1"/>
  <c r="L231" i="6"/>
  <c r="N231" i="6" s="1"/>
  <c r="L232" i="6"/>
  <c r="N232" i="6" s="1"/>
  <c r="L233" i="6"/>
  <c r="L234" i="6"/>
  <c r="L235" i="6"/>
  <c r="L236" i="6"/>
  <c r="N236" i="6" s="1"/>
  <c r="L237" i="6"/>
  <c r="N237" i="6" s="1"/>
  <c r="L238" i="6"/>
  <c r="N238" i="6" s="1"/>
  <c r="L239" i="6"/>
  <c r="N239" i="6" s="1"/>
  <c r="L240" i="6"/>
  <c r="N240" i="6" s="1"/>
  <c r="L241" i="6"/>
  <c r="L242" i="6"/>
  <c r="N242" i="6" s="1"/>
  <c r="L243" i="6"/>
  <c r="N243" i="6" s="1"/>
  <c r="L244" i="6"/>
  <c r="N244" i="6" s="1"/>
  <c r="L245" i="6"/>
  <c r="L246" i="6"/>
  <c r="L247" i="6"/>
  <c r="L248" i="6"/>
  <c r="N248" i="6" s="1"/>
  <c r="L249" i="6"/>
  <c r="N249" i="6" s="1"/>
  <c r="L250" i="6"/>
  <c r="N250" i="6" s="1"/>
  <c r="L251" i="6"/>
  <c r="N251" i="6" s="1"/>
  <c r="L252" i="6"/>
  <c r="N252" i="6" s="1"/>
  <c r="L253" i="6"/>
  <c r="L254" i="6"/>
  <c r="N254" i="6" s="1"/>
  <c r="L255" i="6"/>
  <c r="N255" i="6" s="1"/>
  <c r="L256" i="6"/>
  <c r="N256" i="6" s="1"/>
  <c r="L257" i="6"/>
  <c r="L258" i="6"/>
  <c r="L259" i="6"/>
  <c r="L260" i="6"/>
  <c r="N260" i="6" s="1"/>
  <c r="L261" i="6"/>
  <c r="N261" i="6" s="1"/>
  <c r="L262" i="6"/>
  <c r="N262" i="6" s="1"/>
  <c r="L263" i="6"/>
  <c r="N263" i="6" s="1"/>
  <c r="L264" i="6"/>
  <c r="N264" i="6" s="1"/>
  <c r="L265" i="6"/>
  <c r="L266" i="6"/>
  <c r="N266" i="6" s="1"/>
  <c r="L267" i="6"/>
  <c r="N267" i="6" s="1"/>
  <c r="L268" i="6"/>
  <c r="N268" i="6" s="1"/>
  <c r="L269" i="6"/>
  <c r="L270" i="6"/>
  <c r="L271" i="6"/>
  <c r="L272" i="6"/>
  <c r="N272" i="6" s="1"/>
  <c r="L273" i="6"/>
  <c r="N273" i="6" s="1"/>
  <c r="L274" i="6"/>
  <c r="N274" i="6" s="1"/>
  <c r="L275" i="6"/>
  <c r="N275" i="6" s="1"/>
  <c r="L276" i="6"/>
  <c r="N276" i="6" s="1"/>
  <c r="L277" i="6"/>
  <c r="L278" i="6"/>
  <c r="N278" i="6" s="1"/>
  <c r="L279" i="6"/>
  <c r="N279" i="6" s="1"/>
  <c r="L280" i="6"/>
  <c r="N280" i="6" s="1"/>
  <c r="L281" i="6"/>
  <c r="L282" i="6"/>
  <c r="L283" i="6"/>
  <c r="L284" i="6"/>
  <c r="N284" i="6" s="1"/>
  <c r="L285" i="6"/>
  <c r="N285" i="6" s="1"/>
  <c r="L286" i="6"/>
  <c r="N286" i="6" s="1"/>
  <c r="L287" i="6"/>
  <c r="N287" i="6" s="1"/>
  <c r="L288" i="6"/>
  <c r="N288" i="6" s="1"/>
  <c r="L289" i="6"/>
  <c r="L290" i="6"/>
  <c r="N290" i="6" s="1"/>
  <c r="L291" i="6"/>
  <c r="N291" i="6" s="1"/>
  <c r="L292" i="6"/>
  <c r="N292" i="6" s="1"/>
  <c r="L293" i="6"/>
  <c r="L294" i="6"/>
  <c r="L295" i="6"/>
  <c r="L296" i="6"/>
  <c r="N296" i="6" s="1"/>
  <c r="L297" i="6"/>
  <c r="N297" i="6" s="1"/>
  <c r="L298" i="6"/>
  <c r="N298" i="6" s="1"/>
  <c r="L299" i="6"/>
  <c r="N299" i="6" s="1"/>
  <c r="L300" i="6"/>
  <c r="N300" i="6" s="1"/>
  <c r="L301" i="6"/>
  <c r="L302" i="6"/>
  <c r="N302" i="6" s="1"/>
  <c r="L303" i="6"/>
  <c r="N303" i="6" s="1"/>
  <c r="L304" i="6"/>
  <c r="N304" i="6" s="1"/>
  <c r="L305" i="6"/>
  <c r="L306" i="6"/>
  <c r="L307" i="6"/>
  <c r="L308" i="6"/>
  <c r="N308" i="6" s="1"/>
  <c r="L309" i="6"/>
  <c r="N309" i="6" s="1"/>
  <c r="L310" i="6"/>
  <c r="N310" i="6" s="1"/>
  <c r="L311" i="6"/>
  <c r="N311" i="6" s="1"/>
  <c r="L312" i="6"/>
  <c r="N312" i="6" s="1"/>
  <c r="L313" i="6"/>
  <c r="L314" i="6"/>
  <c r="N314" i="6" s="1"/>
  <c r="L315" i="6"/>
  <c r="N315" i="6" s="1"/>
  <c r="L316" i="6"/>
  <c r="N316" i="6" s="1"/>
  <c r="L317" i="6"/>
  <c r="L318" i="6"/>
  <c r="L319" i="6"/>
  <c r="L320" i="6"/>
  <c r="N320" i="6" s="1"/>
  <c r="L321" i="6"/>
  <c r="N321" i="6" s="1"/>
  <c r="L322" i="6"/>
  <c r="N322" i="6" s="1"/>
  <c r="L323" i="6"/>
  <c r="N323" i="6" s="1"/>
  <c r="L324" i="6"/>
  <c r="N324" i="6" s="1"/>
  <c r="L325" i="6"/>
  <c r="L326" i="6"/>
  <c r="N326" i="6" s="1"/>
  <c r="L327" i="6"/>
  <c r="N327" i="6" s="1"/>
  <c r="L328" i="6"/>
  <c r="N328" i="6" s="1"/>
  <c r="L329" i="6"/>
  <c r="L330" i="6"/>
  <c r="L331" i="6"/>
  <c r="L332" i="6"/>
  <c r="N332" i="6" s="1"/>
  <c r="L333" i="6"/>
  <c r="N333" i="6" s="1"/>
  <c r="L334" i="6"/>
  <c r="N334" i="6" s="1"/>
  <c r="L335" i="6"/>
  <c r="N335" i="6" s="1"/>
  <c r="L336" i="6"/>
  <c r="N336" i="6" s="1"/>
  <c r="L337" i="6"/>
  <c r="L338" i="6"/>
  <c r="N338" i="6" s="1"/>
  <c r="L339" i="6"/>
  <c r="N339" i="6" s="1"/>
  <c r="L340" i="6"/>
  <c r="N340" i="6" s="1"/>
  <c r="L341" i="6"/>
  <c r="L342" i="6"/>
  <c r="L343" i="6"/>
  <c r="L344" i="6"/>
  <c r="N344" i="6" s="1"/>
  <c r="L345" i="6"/>
  <c r="N345" i="6" s="1"/>
  <c r="L346" i="6"/>
  <c r="N346" i="6" s="1"/>
  <c r="L347" i="6"/>
  <c r="N347" i="6" s="1"/>
  <c r="L348" i="6"/>
  <c r="N348" i="6" s="1"/>
  <c r="L349" i="6"/>
  <c r="L350" i="6"/>
  <c r="N350" i="6" s="1"/>
  <c r="L351" i="6"/>
  <c r="N351" i="6" s="1"/>
  <c r="L352" i="6"/>
  <c r="N352" i="6" s="1"/>
  <c r="L353" i="6"/>
  <c r="L354" i="6"/>
  <c r="L355" i="6"/>
  <c r="L356" i="6"/>
  <c r="N356" i="6" s="1"/>
  <c r="L357" i="6"/>
  <c r="N357" i="6" s="1"/>
  <c r="L358" i="6"/>
  <c r="N358" i="6" s="1"/>
  <c r="L359" i="6"/>
  <c r="N359" i="6" s="1"/>
  <c r="L360" i="6"/>
  <c r="N360" i="6" s="1"/>
  <c r="L361" i="6"/>
  <c r="L362" i="6"/>
  <c r="N362" i="6" s="1"/>
  <c r="L363" i="6"/>
  <c r="N363" i="6" s="1"/>
  <c r="L364" i="6"/>
  <c r="N364" i="6" s="1"/>
  <c r="L365" i="6"/>
  <c r="L366" i="6"/>
  <c r="L367" i="6"/>
  <c r="L368" i="6"/>
  <c r="N368" i="6" s="1"/>
  <c r="L369" i="6"/>
  <c r="N369" i="6" s="1"/>
  <c r="L370" i="6"/>
  <c r="N370" i="6" s="1"/>
  <c r="L371" i="6"/>
  <c r="N371" i="6" s="1"/>
  <c r="L372" i="6"/>
  <c r="N372" i="6" s="1"/>
  <c r="L373" i="6"/>
  <c r="L374" i="6"/>
  <c r="N374" i="6" s="1"/>
  <c r="L375" i="6"/>
  <c r="N375" i="6" s="1"/>
  <c r="L376" i="6"/>
  <c r="N376" i="6" s="1"/>
  <c r="L377" i="6"/>
  <c r="L378" i="6"/>
  <c r="L379" i="6"/>
  <c r="L380" i="6"/>
  <c r="N380" i="6" s="1"/>
  <c r="L381" i="6"/>
  <c r="N381" i="6" s="1"/>
  <c r="L382" i="6"/>
  <c r="N382" i="6" s="1"/>
  <c r="L383" i="6"/>
  <c r="N383" i="6" s="1"/>
  <c r="L384" i="6"/>
  <c r="N384" i="6" s="1"/>
  <c r="L385" i="6"/>
  <c r="L386" i="6"/>
  <c r="N386" i="6" s="1"/>
  <c r="L387" i="6"/>
  <c r="N387" i="6" s="1"/>
  <c r="L388" i="6"/>
  <c r="N388" i="6" s="1"/>
  <c r="L389" i="6"/>
  <c r="L390" i="6"/>
  <c r="L391" i="6"/>
  <c r="L392" i="6"/>
  <c r="N392" i="6" s="1"/>
  <c r="L393" i="6"/>
  <c r="N393" i="6" s="1"/>
  <c r="L394" i="6"/>
  <c r="N394" i="6" s="1"/>
  <c r="L395" i="6"/>
  <c r="N395" i="6" s="1"/>
  <c r="L396" i="6"/>
  <c r="N396" i="6" s="1"/>
  <c r="L397" i="6"/>
  <c r="L398" i="6"/>
  <c r="N398" i="6" s="1"/>
  <c r="L399" i="6"/>
  <c r="N399" i="6" s="1"/>
  <c r="L400" i="6"/>
  <c r="N400" i="6" s="1"/>
  <c r="L401" i="6"/>
  <c r="F2" i="7"/>
  <c r="L3" i="6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3" i="7"/>
  <c r="C2" i="7"/>
  <c r="C2" i="6"/>
  <c r="C2" i="5"/>
  <c r="F3" i="4"/>
  <c r="G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3" i="4"/>
  <c r="D4" i="4"/>
  <c r="F4" i="4" s="1"/>
  <c r="D5" i="4"/>
  <c r="F5" i="4" s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E2" i="5"/>
  <c r="D3" i="4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2" i="5"/>
  <c r="F2" i="5" s="1"/>
  <c r="E4" i="2"/>
  <c r="D4" i="2"/>
  <c r="D5" i="1"/>
  <c r="G3" i="2"/>
  <c r="G4" i="2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5" i="2"/>
  <c r="F4" i="2"/>
  <c r="D4" i="1"/>
  <c r="E4" i="1"/>
  <c r="F4" i="1" s="1"/>
  <c r="E5" i="1"/>
  <c r="F5" i="1" s="1"/>
  <c r="N390" i="6" l="1"/>
  <c r="N378" i="6"/>
  <c r="N366" i="6"/>
  <c r="N354" i="6"/>
  <c r="N342" i="6"/>
  <c r="N330" i="6"/>
  <c r="N318" i="6"/>
  <c r="N306" i="6"/>
  <c r="N294" i="6"/>
  <c r="N282" i="6"/>
  <c r="N270" i="6"/>
  <c r="N258" i="6"/>
  <c r="N246" i="6"/>
  <c r="N234" i="6"/>
  <c r="N222" i="6"/>
  <c r="N210" i="6"/>
  <c r="N198" i="6"/>
  <c r="N186" i="6"/>
  <c r="N174" i="6"/>
  <c r="N162" i="6"/>
  <c r="N150" i="6"/>
  <c r="N138" i="6"/>
  <c r="N126" i="6"/>
  <c r="N114" i="6"/>
  <c r="N102" i="6"/>
  <c r="N90" i="6"/>
  <c r="N78" i="6"/>
  <c r="N66" i="6"/>
  <c r="N54" i="6"/>
  <c r="N42" i="6"/>
  <c r="N30" i="6"/>
  <c r="N18" i="6"/>
  <c r="N6" i="6"/>
  <c r="N401" i="6"/>
  <c r="N389" i="6"/>
  <c r="N377" i="6"/>
  <c r="N365" i="6"/>
  <c r="N353" i="6"/>
  <c r="N341" i="6"/>
  <c r="N329" i="6"/>
  <c r="N317" i="6"/>
  <c r="N305" i="6"/>
  <c r="N293" i="6"/>
  <c r="N281" i="6"/>
  <c r="N269" i="6"/>
  <c r="N257" i="6"/>
  <c r="N245" i="6"/>
  <c r="N233" i="6"/>
  <c r="N221" i="6"/>
  <c r="N209" i="6"/>
  <c r="N197" i="6"/>
  <c r="N185" i="6"/>
  <c r="N173" i="6"/>
  <c r="N161" i="6"/>
  <c r="N149" i="6"/>
  <c r="N137" i="6"/>
  <c r="N125" i="6"/>
  <c r="N113" i="6"/>
  <c r="N101" i="6"/>
  <c r="N89" i="6"/>
  <c r="N77" i="6"/>
  <c r="N65" i="6"/>
  <c r="N53" i="6"/>
  <c r="N41" i="6"/>
  <c r="N29" i="6"/>
  <c r="N17" i="6"/>
  <c r="N5" i="6"/>
  <c r="N11" i="6"/>
  <c r="N124" i="6"/>
  <c r="N100" i="6"/>
  <c r="N76" i="6"/>
  <c r="N52" i="6"/>
  <c r="N16" i="6"/>
  <c r="N112" i="6"/>
  <c r="N88" i="6"/>
  <c r="N64" i="6"/>
  <c r="N40" i="6"/>
  <c r="N28" i="6"/>
  <c r="N4" i="6"/>
  <c r="N397" i="6"/>
  <c r="N385" i="6"/>
  <c r="N373" i="6"/>
  <c r="N361" i="6"/>
  <c r="N349" i="6"/>
  <c r="N337" i="6"/>
  <c r="N325" i="6"/>
  <c r="N313" i="6"/>
  <c r="N301" i="6"/>
  <c r="N289" i="6"/>
  <c r="N277" i="6"/>
  <c r="N265" i="6"/>
  <c r="N253" i="6"/>
  <c r="N241" i="6"/>
  <c r="N229" i="6"/>
  <c r="N217" i="6"/>
  <c r="N205" i="6"/>
  <c r="N193" i="6"/>
  <c r="N181" i="6"/>
  <c r="N169" i="6"/>
  <c r="N157" i="6"/>
  <c r="N145" i="6"/>
  <c r="N133" i="6"/>
  <c r="N121" i="6"/>
  <c r="N109" i="6"/>
  <c r="N97" i="6"/>
  <c r="N85" i="6"/>
  <c r="N73" i="6"/>
  <c r="N61" i="6"/>
  <c r="N49" i="6"/>
  <c r="N37" i="6"/>
  <c r="N25" i="6"/>
  <c r="N13" i="6"/>
  <c r="N10" i="6"/>
  <c r="N3" i="6"/>
  <c r="N391" i="6"/>
  <c r="N379" i="6"/>
  <c r="N367" i="6"/>
  <c r="N355" i="6"/>
  <c r="N343" i="6"/>
  <c r="N331" i="6"/>
  <c r="N319" i="6"/>
  <c r="N307" i="6"/>
  <c r="N295" i="6"/>
  <c r="N283" i="6"/>
  <c r="N271" i="6"/>
  <c r="N259" i="6"/>
  <c r="N247" i="6"/>
  <c r="N235" i="6"/>
  <c r="N223" i="6"/>
  <c r="N211" i="6"/>
  <c r="N199" i="6"/>
  <c r="N187" i="6"/>
  <c r="N175" i="6"/>
  <c r="N163" i="6"/>
  <c r="N151" i="6"/>
  <c r="N139" i="6"/>
  <c r="N127" i="6"/>
  <c r="N115" i="6"/>
  <c r="N103" i="6"/>
  <c r="N91" i="6"/>
  <c r="N79" i="6"/>
  <c r="N67" i="6"/>
  <c r="N55" i="6"/>
  <c r="N43" i="6"/>
  <c r="N31" i="6"/>
  <c r="N19" i="6"/>
  <c r="N7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2" i="6"/>
  <c r="H2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2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3" i="6"/>
  <c r="E3" i="5"/>
  <c r="F3" i="5" s="1"/>
  <c r="G2" i="5"/>
  <c r="F6" i="4"/>
  <c r="E5" i="2"/>
  <c r="F5" i="2" s="1"/>
  <c r="D6" i="1"/>
  <c r="E6" i="1" s="1"/>
  <c r="F6" i="1" s="1"/>
  <c r="O3" i="6" l="1"/>
  <c r="J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I2" i="6" s="1"/>
  <c r="E4" i="5"/>
  <c r="F4" i="5" s="1"/>
  <c r="G3" i="5"/>
  <c r="F7" i="4"/>
  <c r="F8" i="4"/>
  <c r="E6" i="2"/>
  <c r="F6" i="2" s="1"/>
  <c r="E7" i="2"/>
  <c r="E8" i="2" s="1"/>
  <c r="D7" i="1"/>
  <c r="E7" i="1" s="1"/>
  <c r="G4" i="5" l="1"/>
  <c r="E5" i="5"/>
  <c r="F5" i="5" s="1"/>
  <c r="G5" i="5" s="1"/>
  <c r="E6" i="5"/>
  <c r="F6" i="5" s="1"/>
  <c r="G6" i="5" s="1"/>
  <c r="F7" i="2"/>
  <c r="F8" i="2"/>
  <c r="E9" i="2"/>
  <c r="F7" i="1"/>
  <c r="D8" i="1"/>
  <c r="E8" i="1" s="1"/>
  <c r="E7" i="5" l="1"/>
  <c r="F9" i="4"/>
  <c r="F10" i="4"/>
  <c r="F9" i="2"/>
  <c r="E10" i="2"/>
  <c r="F8" i="1"/>
  <c r="D9" i="1"/>
  <c r="E9" i="1" s="1"/>
  <c r="F7" i="5" l="1"/>
  <c r="F10" i="2"/>
  <c r="E11" i="2"/>
  <c r="D10" i="1"/>
  <c r="E10" i="1" s="1"/>
  <c r="F9" i="1"/>
  <c r="E8" i="5" l="1"/>
  <c r="F8" i="5" s="1"/>
  <c r="G7" i="5"/>
  <c r="F11" i="4"/>
  <c r="F12" i="4"/>
  <c r="F11" i="2"/>
  <c r="E12" i="2"/>
  <c r="D11" i="1"/>
  <c r="E11" i="1" s="1"/>
  <c r="F10" i="1"/>
  <c r="E9" i="5" l="1"/>
  <c r="F9" i="5" s="1"/>
  <c r="G8" i="5"/>
  <c r="E13" i="2"/>
  <c r="F12" i="2"/>
  <c r="D12" i="1"/>
  <c r="E12" i="1" s="1"/>
  <c r="F11" i="1"/>
  <c r="E10" i="5" l="1"/>
  <c r="F10" i="5" s="1"/>
  <c r="G9" i="5"/>
  <c r="F13" i="4"/>
  <c r="F14" i="4"/>
  <c r="E14" i="2"/>
  <c r="F13" i="2"/>
  <c r="D13" i="1"/>
  <c r="E13" i="1" s="1"/>
  <c r="F12" i="1"/>
  <c r="E11" i="5" l="1"/>
  <c r="F11" i="5" s="1"/>
  <c r="G10" i="5"/>
  <c r="F14" i="2"/>
  <c r="E15" i="2"/>
  <c r="D14" i="1"/>
  <c r="E14" i="1" s="1"/>
  <c r="F13" i="1"/>
  <c r="E12" i="5" l="1"/>
  <c r="F12" i="5" s="1"/>
  <c r="G11" i="5"/>
  <c r="F15" i="4"/>
  <c r="F16" i="4"/>
  <c r="F15" i="2"/>
  <c r="E16" i="2"/>
  <c r="D15" i="1"/>
  <c r="E15" i="1" s="1"/>
  <c r="F14" i="1"/>
  <c r="E13" i="5" l="1"/>
  <c r="F13" i="5" s="1"/>
  <c r="G12" i="5"/>
  <c r="E17" i="2"/>
  <c r="F16" i="2"/>
  <c r="D16" i="1"/>
  <c r="E16" i="1" s="1"/>
  <c r="F15" i="1"/>
  <c r="G13" i="5" l="1"/>
  <c r="E14" i="5"/>
  <c r="F14" i="5" s="1"/>
  <c r="F17" i="4"/>
  <c r="F18" i="4"/>
  <c r="F17" i="2"/>
  <c r="E18" i="2"/>
  <c r="D17" i="1"/>
  <c r="E17" i="1" s="1"/>
  <c r="F16" i="1"/>
  <c r="G14" i="5" l="1"/>
  <c r="E15" i="5"/>
  <c r="F15" i="5" s="1"/>
  <c r="F18" i="2"/>
  <c r="E19" i="2"/>
  <c r="D18" i="1"/>
  <c r="E18" i="1" s="1"/>
  <c r="F17" i="1"/>
  <c r="G15" i="5" l="1"/>
  <c r="E16" i="5"/>
  <c r="F16" i="5" s="1"/>
  <c r="F19" i="4"/>
  <c r="F20" i="4"/>
  <c r="F19" i="2"/>
  <c r="E20" i="2"/>
  <c r="D19" i="1"/>
  <c r="E19" i="1" s="1"/>
  <c r="F18" i="1"/>
  <c r="G16" i="5" l="1"/>
  <c r="E17" i="5"/>
  <c r="F17" i="5" s="1"/>
  <c r="E21" i="2"/>
  <c r="F20" i="2"/>
  <c r="D20" i="1"/>
  <c r="E20" i="1" s="1"/>
  <c r="F19" i="1"/>
  <c r="G17" i="5" l="1"/>
  <c r="E18" i="5"/>
  <c r="F18" i="5" s="1"/>
  <c r="F21" i="4"/>
  <c r="F22" i="4"/>
  <c r="F21" i="2"/>
  <c r="E22" i="2"/>
  <c r="D21" i="1"/>
  <c r="E21" i="1" s="1"/>
  <c r="F20" i="1"/>
  <c r="G18" i="5" l="1"/>
  <c r="E19" i="5"/>
  <c r="F19" i="5" s="1"/>
  <c r="F22" i="2"/>
  <c r="E23" i="2"/>
  <c r="D22" i="1"/>
  <c r="E22" i="1" s="1"/>
  <c r="F21" i="1"/>
  <c r="G19" i="5" l="1"/>
  <c r="E20" i="5"/>
  <c r="F20" i="5" s="1"/>
  <c r="F23" i="4"/>
  <c r="F24" i="4"/>
  <c r="F23" i="2"/>
  <c r="E24" i="2"/>
  <c r="D23" i="1"/>
  <c r="E23" i="1" s="1"/>
  <c r="F22" i="1"/>
  <c r="G20" i="5" l="1"/>
  <c r="E21" i="5"/>
  <c r="F21" i="5" s="1"/>
  <c r="F24" i="2"/>
  <c r="E25" i="2"/>
  <c r="D24" i="1"/>
  <c r="E24" i="1" s="1"/>
  <c r="F23" i="1"/>
  <c r="G21" i="5" l="1"/>
  <c r="E22" i="5"/>
  <c r="F22" i="5" s="1"/>
  <c r="F25" i="4"/>
  <c r="F26" i="4"/>
  <c r="F25" i="2"/>
  <c r="E26" i="2"/>
  <c r="D25" i="1"/>
  <c r="E25" i="1" s="1"/>
  <c r="F24" i="1"/>
  <c r="G22" i="5" l="1"/>
  <c r="E23" i="5"/>
  <c r="F23" i="5" s="1"/>
  <c r="F26" i="2"/>
  <c r="E27" i="2"/>
  <c r="D26" i="1"/>
  <c r="E26" i="1" s="1"/>
  <c r="F25" i="1"/>
  <c r="G23" i="5" l="1"/>
  <c r="E24" i="5"/>
  <c r="F24" i="5" s="1"/>
  <c r="F27" i="4"/>
  <c r="F28" i="4"/>
  <c r="F27" i="2"/>
  <c r="E28" i="2"/>
  <c r="D27" i="1"/>
  <c r="E27" i="1" s="1"/>
  <c r="F26" i="1"/>
  <c r="G24" i="5" l="1"/>
  <c r="E25" i="5"/>
  <c r="F25" i="5" s="1"/>
  <c r="E29" i="2"/>
  <c r="F28" i="2"/>
  <c r="D28" i="1"/>
  <c r="E28" i="1" s="1"/>
  <c r="F27" i="1"/>
  <c r="G25" i="5" l="1"/>
  <c r="E26" i="5"/>
  <c r="F26" i="5" s="1"/>
  <c r="F29" i="4"/>
  <c r="F30" i="4"/>
  <c r="F29" i="2"/>
  <c r="E30" i="2"/>
  <c r="D29" i="1"/>
  <c r="E29" i="1" s="1"/>
  <c r="F28" i="1"/>
  <c r="G26" i="5" l="1"/>
  <c r="E27" i="5"/>
  <c r="F27" i="5" s="1"/>
  <c r="F30" i="2"/>
  <c r="E31" i="2"/>
  <c r="D30" i="1"/>
  <c r="E30" i="1" s="1"/>
  <c r="F29" i="1"/>
  <c r="G27" i="5" l="1"/>
  <c r="E28" i="5"/>
  <c r="F28" i="5" s="1"/>
  <c r="F31" i="4"/>
  <c r="F32" i="4"/>
  <c r="F31" i="2"/>
  <c r="E32" i="2"/>
  <c r="D31" i="1"/>
  <c r="E31" i="1" s="1"/>
  <c r="F30" i="1"/>
  <c r="G28" i="5" l="1"/>
  <c r="E29" i="5"/>
  <c r="F29" i="5" s="1"/>
  <c r="F32" i="2"/>
  <c r="E33" i="2"/>
  <c r="D32" i="1"/>
  <c r="E32" i="1" s="1"/>
  <c r="F31" i="1"/>
  <c r="G29" i="5" l="1"/>
  <c r="E30" i="5"/>
  <c r="F30" i="5" s="1"/>
  <c r="F33" i="4"/>
  <c r="F34" i="4"/>
  <c r="F33" i="2"/>
  <c r="E34" i="2"/>
  <c r="D33" i="1"/>
  <c r="E33" i="1" s="1"/>
  <c r="F32" i="1"/>
  <c r="G30" i="5" l="1"/>
  <c r="E31" i="5"/>
  <c r="F31" i="5" s="1"/>
  <c r="F34" i="2"/>
  <c r="E35" i="2"/>
  <c r="D34" i="1"/>
  <c r="E34" i="1" s="1"/>
  <c r="F33" i="1"/>
  <c r="G31" i="5" l="1"/>
  <c r="E32" i="5"/>
  <c r="F32" i="5" s="1"/>
  <c r="F35" i="4"/>
  <c r="F36" i="4"/>
  <c r="F35" i="2"/>
  <c r="E36" i="2"/>
  <c r="D35" i="1"/>
  <c r="E35" i="1" s="1"/>
  <c r="F34" i="1"/>
  <c r="G32" i="5" l="1"/>
  <c r="E33" i="5"/>
  <c r="F33" i="5" s="1"/>
  <c r="E37" i="2"/>
  <c r="F36" i="2"/>
  <c r="D36" i="1"/>
  <c r="E36" i="1" s="1"/>
  <c r="F35" i="1"/>
  <c r="G33" i="5" l="1"/>
  <c r="E34" i="5"/>
  <c r="F34" i="5" s="1"/>
  <c r="F37" i="4"/>
  <c r="F38" i="4"/>
  <c r="F37" i="2"/>
  <c r="E38" i="2"/>
  <c r="D37" i="1"/>
  <c r="E37" i="1" s="1"/>
  <c r="F36" i="1"/>
  <c r="G34" i="5" l="1"/>
  <c r="E35" i="5"/>
  <c r="F35" i="5" s="1"/>
  <c r="F38" i="2"/>
  <c r="E39" i="2"/>
  <c r="D38" i="1"/>
  <c r="E38" i="1" s="1"/>
  <c r="F37" i="1"/>
  <c r="G35" i="5" l="1"/>
  <c r="E36" i="5"/>
  <c r="F36" i="5" s="1"/>
  <c r="F39" i="4"/>
  <c r="F40" i="4"/>
  <c r="F39" i="2"/>
  <c r="E40" i="2"/>
  <c r="D39" i="1"/>
  <c r="E39" i="1" s="1"/>
  <c r="F38" i="1"/>
  <c r="G36" i="5" l="1"/>
  <c r="E37" i="5"/>
  <c r="F37" i="5" s="1"/>
  <c r="E41" i="2"/>
  <c r="F40" i="2"/>
  <c r="D40" i="1"/>
  <c r="E40" i="1" s="1"/>
  <c r="F39" i="1"/>
  <c r="G37" i="5" l="1"/>
  <c r="E38" i="5"/>
  <c r="F38" i="5" s="1"/>
  <c r="F41" i="4"/>
  <c r="F42" i="4"/>
  <c r="F41" i="2"/>
  <c r="E42" i="2"/>
  <c r="D41" i="1"/>
  <c r="E41" i="1" s="1"/>
  <c r="F40" i="1"/>
  <c r="G38" i="5" l="1"/>
  <c r="E39" i="5"/>
  <c r="F39" i="5" s="1"/>
  <c r="F42" i="2"/>
  <c r="E43" i="2"/>
  <c r="D42" i="1"/>
  <c r="E42" i="1" s="1"/>
  <c r="F41" i="1"/>
  <c r="G39" i="5" l="1"/>
  <c r="E40" i="5"/>
  <c r="F40" i="5" s="1"/>
  <c r="F43" i="4"/>
  <c r="F44" i="4"/>
  <c r="F43" i="2"/>
  <c r="E44" i="2"/>
  <c r="D43" i="1"/>
  <c r="E43" i="1" s="1"/>
  <c r="F42" i="1"/>
  <c r="G40" i="5" l="1"/>
  <c r="E41" i="5"/>
  <c r="F41" i="5" s="1"/>
  <c r="F44" i="2"/>
  <c r="E45" i="2"/>
  <c r="D44" i="1"/>
  <c r="E44" i="1" s="1"/>
  <c r="F43" i="1"/>
  <c r="G41" i="5" l="1"/>
  <c r="E42" i="5"/>
  <c r="F42" i="5" s="1"/>
  <c r="F45" i="4"/>
  <c r="F46" i="4"/>
  <c r="F45" i="2"/>
  <c r="E46" i="2"/>
  <c r="D45" i="1"/>
  <c r="E45" i="1" s="1"/>
  <c r="F44" i="1"/>
  <c r="G42" i="5" l="1"/>
  <c r="E43" i="5"/>
  <c r="F43" i="5" s="1"/>
  <c r="F46" i="2"/>
  <c r="E47" i="2"/>
  <c r="D46" i="1"/>
  <c r="E46" i="1" s="1"/>
  <c r="F45" i="1"/>
  <c r="G43" i="5" l="1"/>
  <c r="E44" i="5"/>
  <c r="F44" i="5" s="1"/>
  <c r="F47" i="4"/>
  <c r="F48" i="4"/>
  <c r="F47" i="2"/>
  <c r="E48" i="2"/>
  <c r="D47" i="1"/>
  <c r="E47" i="1" s="1"/>
  <c r="F46" i="1"/>
  <c r="G44" i="5" l="1"/>
  <c r="E45" i="5"/>
  <c r="F45" i="5" s="1"/>
  <c r="F48" i="2"/>
  <c r="E49" i="2"/>
  <c r="D48" i="1"/>
  <c r="E48" i="1" s="1"/>
  <c r="F47" i="1"/>
  <c r="G45" i="5" l="1"/>
  <c r="E46" i="5"/>
  <c r="F46" i="5" s="1"/>
  <c r="F49" i="4"/>
  <c r="F50" i="4"/>
  <c r="F49" i="2"/>
  <c r="E50" i="2"/>
  <c r="D49" i="1"/>
  <c r="E49" i="1" s="1"/>
  <c r="F48" i="1"/>
  <c r="G46" i="5" l="1"/>
  <c r="E47" i="5"/>
  <c r="F47" i="5" s="1"/>
  <c r="F50" i="2"/>
  <c r="E51" i="2"/>
  <c r="D50" i="1"/>
  <c r="E50" i="1" s="1"/>
  <c r="F49" i="1"/>
  <c r="G47" i="5" l="1"/>
  <c r="E48" i="5"/>
  <c r="F48" i="5" s="1"/>
  <c r="F51" i="4"/>
  <c r="F52" i="4"/>
  <c r="F51" i="2"/>
  <c r="E52" i="2"/>
  <c r="D51" i="1"/>
  <c r="E51" i="1" s="1"/>
  <c r="F50" i="1"/>
  <c r="G48" i="5" l="1"/>
  <c r="E49" i="5"/>
  <c r="F49" i="5" s="1"/>
  <c r="E53" i="2"/>
  <c r="F52" i="2"/>
  <c r="D52" i="1"/>
  <c r="E52" i="1" s="1"/>
  <c r="F51" i="1"/>
  <c r="G49" i="5" l="1"/>
  <c r="E50" i="5"/>
  <c r="F50" i="5" s="1"/>
  <c r="F53" i="4"/>
  <c r="F54" i="4"/>
  <c r="E54" i="2"/>
  <c r="F53" i="2"/>
  <c r="D53" i="1"/>
  <c r="E53" i="1" s="1"/>
  <c r="F52" i="1"/>
  <c r="G50" i="5" l="1"/>
  <c r="E51" i="5"/>
  <c r="F51" i="5" s="1"/>
  <c r="F54" i="2"/>
  <c r="E55" i="2"/>
  <c r="D54" i="1"/>
  <c r="E54" i="1" s="1"/>
  <c r="F53" i="1"/>
  <c r="G51" i="5" l="1"/>
  <c r="E52" i="5"/>
  <c r="F52" i="5" s="1"/>
  <c r="F55" i="4"/>
  <c r="F56" i="4"/>
  <c r="F55" i="2"/>
  <c r="E56" i="2"/>
  <c r="D55" i="1"/>
  <c r="E55" i="1" s="1"/>
  <c r="F54" i="1"/>
  <c r="G52" i="5" l="1"/>
  <c r="E53" i="5"/>
  <c r="F53" i="5" s="1"/>
  <c r="F56" i="2"/>
  <c r="E57" i="2"/>
  <c r="D56" i="1"/>
  <c r="E56" i="1" s="1"/>
  <c r="F55" i="1"/>
  <c r="G53" i="5" l="1"/>
  <c r="E54" i="5"/>
  <c r="F54" i="5" s="1"/>
  <c r="F57" i="4"/>
  <c r="F58" i="4"/>
  <c r="F57" i="2"/>
  <c r="E58" i="2"/>
  <c r="D57" i="1"/>
  <c r="E57" i="1" s="1"/>
  <c r="F56" i="1"/>
  <c r="G54" i="5" l="1"/>
  <c r="E55" i="5"/>
  <c r="F55" i="5" s="1"/>
  <c r="F58" i="2"/>
  <c r="E59" i="2"/>
  <c r="D58" i="1"/>
  <c r="E58" i="1" s="1"/>
  <c r="F57" i="1"/>
  <c r="G55" i="5" l="1"/>
  <c r="E56" i="5"/>
  <c r="F56" i="5" s="1"/>
  <c r="F59" i="4"/>
  <c r="F60" i="4"/>
  <c r="F59" i="2"/>
  <c r="E60" i="2"/>
  <c r="D59" i="1"/>
  <c r="E59" i="1" s="1"/>
  <c r="F58" i="1"/>
  <c r="G56" i="5" l="1"/>
  <c r="E57" i="5"/>
  <c r="F57" i="5" s="1"/>
  <c r="F60" i="2"/>
  <c r="E61" i="2"/>
  <c r="D60" i="1"/>
  <c r="E60" i="1" s="1"/>
  <c r="F59" i="1"/>
  <c r="G57" i="5" l="1"/>
  <c r="E58" i="5"/>
  <c r="F58" i="5" s="1"/>
  <c r="F61" i="4"/>
  <c r="F61" i="2"/>
  <c r="E62" i="2"/>
  <c r="D61" i="1"/>
  <c r="E61" i="1" s="1"/>
  <c r="F60" i="1"/>
  <c r="G58" i="5" l="1"/>
  <c r="E59" i="5"/>
  <c r="F59" i="5" s="1"/>
  <c r="F62" i="4"/>
  <c r="F62" i="2"/>
  <c r="E63" i="2"/>
  <c r="D62" i="1"/>
  <c r="E62" i="1" s="1"/>
  <c r="F61" i="1"/>
  <c r="G59" i="5" l="1"/>
  <c r="E60" i="5"/>
  <c r="F60" i="5" s="1"/>
  <c r="F63" i="4"/>
  <c r="F64" i="4"/>
  <c r="F63" i="2"/>
  <c r="E64" i="2"/>
  <c r="D63" i="1"/>
  <c r="E63" i="1" s="1"/>
  <c r="F62" i="1"/>
  <c r="G60" i="5" l="1"/>
  <c r="E61" i="5"/>
  <c r="F61" i="5" s="1"/>
  <c r="E65" i="2"/>
  <c r="F64" i="2"/>
  <c r="D64" i="1"/>
  <c r="E64" i="1" s="1"/>
  <c r="F63" i="1"/>
  <c r="G61" i="5" l="1"/>
  <c r="E62" i="5"/>
  <c r="F62" i="5" s="1"/>
  <c r="F65" i="4"/>
  <c r="F66" i="4"/>
  <c r="F65" i="2"/>
  <c r="E66" i="2"/>
  <c r="D65" i="1"/>
  <c r="E65" i="1" s="1"/>
  <c r="F64" i="1"/>
  <c r="G62" i="5" l="1"/>
  <c r="E63" i="5"/>
  <c r="F63" i="5" s="1"/>
  <c r="F66" i="2"/>
  <c r="E67" i="2"/>
  <c r="D66" i="1"/>
  <c r="E66" i="1" s="1"/>
  <c r="F65" i="1"/>
  <c r="G63" i="5" l="1"/>
  <c r="E64" i="5"/>
  <c r="F64" i="5" s="1"/>
  <c r="F67" i="4"/>
  <c r="F68" i="4"/>
  <c r="F67" i="2"/>
  <c r="E68" i="2"/>
  <c r="D67" i="1"/>
  <c r="E67" i="1" s="1"/>
  <c r="F66" i="1"/>
  <c r="G64" i="5" l="1"/>
  <c r="E65" i="5"/>
  <c r="F65" i="5" s="1"/>
  <c r="E69" i="2"/>
  <c r="F68" i="2"/>
  <c r="D68" i="1"/>
  <c r="E68" i="1" s="1"/>
  <c r="F67" i="1"/>
  <c r="G65" i="5" l="1"/>
  <c r="E66" i="5"/>
  <c r="F66" i="5" s="1"/>
  <c r="F69" i="4"/>
  <c r="F70" i="4"/>
  <c r="F69" i="2"/>
  <c r="E70" i="2"/>
  <c r="D69" i="1"/>
  <c r="E69" i="1" s="1"/>
  <c r="F68" i="1"/>
  <c r="G66" i="5" l="1"/>
  <c r="E67" i="5"/>
  <c r="F67" i="5" s="1"/>
  <c r="F70" i="2"/>
  <c r="E71" i="2"/>
  <c r="D70" i="1"/>
  <c r="E70" i="1" s="1"/>
  <c r="F69" i="1"/>
  <c r="G67" i="5" l="1"/>
  <c r="E68" i="5"/>
  <c r="F68" i="5" s="1"/>
  <c r="F71" i="4"/>
  <c r="F72" i="4"/>
  <c r="F71" i="2"/>
  <c r="E72" i="2"/>
  <c r="D71" i="1"/>
  <c r="E71" i="1" s="1"/>
  <c r="F70" i="1"/>
  <c r="G68" i="5" l="1"/>
  <c r="E69" i="5"/>
  <c r="F69" i="5" s="1"/>
  <c r="F72" i="2"/>
  <c r="E73" i="2"/>
  <c r="D72" i="1"/>
  <c r="E72" i="1" s="1"/>
  <c r="F71" i="1"/>
  <c r="G69" i="5" l="1"/>
  <c r="E70" i="5"/>
  <c r="F70" i="5" s="1"/>
  <c r="F73" i="4"/>
  <c r="F74" i="4"/>
  <c r="F73" i="2"/>
  <c r="E74" i="2"/>
  <c r="D73" i="1"/>
  <c r="E73" i="1" s="1"/>
  <c r="F72" i="1"/>
  <c r="G70" i="5" l="1"/>
  <c r="E71" i="5"/>
  <c r="F71" i="5" s="1"/>
  <c r="F74" i="2"/>
  <c r="E75" i="2"/>
  <c r="D74" i="1"/>
  <c r="E74" i="1" s="1"/>
  <c r="F73" i="1"/>
  <c r="G71" i="5" l="1"/>
  <c r="E72" i="5"/>
  <c r="F72" i="5" s="1"/>
  <c r="F75" i="4"/>
  <c r="F76" i="4"/>
  <c r="F75" i="2"/>
  <c r="E76" i="2"/>
  <c r="D75" i="1"/>
  <c r="E75" i="1" s="1"/>
  <c r="F74" i="1"/>
  <c r="G72" i="5" l="1"/>
  <c r="E73" i="5"/>
  <c r="F73" i="5" s="1"/>
  <c r="E77" i="2"/>
  <c r="F76" i="2"/>
  <c r="D76" i="1"/>
  <c r="E76" i="1" s="1"/>
  <c r="F75" i="1"/>
  <c r="G73" i="5" l="1"/>
  <c r="E74" i="5"/>
  <c r="F74" i="5" s="1"/>
  <c r="F77" i="4"/>
  <c r="F78" i="4"/>
  <c r="E78" i="2"/>
  <c r="F77" i="2"/>
  <c r="D77" i="1"/>
  <c r="E77" i="1" s="1"/>
  <c r="F76" i="1"/>
  <c r="G74" i="5" l="1"/>
  <c r="E75" i="5"/>
  <c r="F75" i="5" s="1"/>
  <c r="F78" i="2"/>
  <c r="E79" i="2"/>
  <c r="D78" i="1"/>
  <c r="E78" i="1" s="1"/>
  <c r="F77" i="1"/>
  <c r="G75" i="5" l="1"/>
  <c r="E76" i="5"/>
  <c r="F76" i="5" s="1"/>
  <c r="F79" i="4"/>
  <c r="F80" i="4"/>
  <c r="F79" i="2"/>
  <c r="E80" i="2"/>
  <c r="D79" i="1"/>
  <c r="E79" i="1" s="1"/>
  <c r="F78" i="1"/>
  <c r="G76" i="5" l="1"/>
  <c r="E77" i="5"/>
  <c r="F77" i="5" s="1"/>
  <c r="F80" i="2"/>
  <c r="E81" i="2"/>
  <c r="D80" i="1"/>
  <c r="E80" i="1" s="1"/>
  <c r="F79" i="1"/>
  <c r="G77" i="5" l="1"/>
  <c r="E78" i="5"/>
  <c r="F78" i="5" s="1"/>
  <c r="F81" i="4"/>
  <c r="F82" i="4"/>
  <c r="F81" i="2"/>
  <c r="E82" i="2"/>
  <c r="D81" i="1"/>
  <c r="E81" i="1" s="1"/>
  <c r="F80" i="1"/>
  <c r="G78" i="5" l="1"/>
  <c r="E79" i="5"/>
  <c r="F79" i="5" s="1"/>
  <c r="F82" i="2"/>
  <c r="E83" i="2"/>
  <c r="D82" i="1"/>
  <c r="E82" i="1" s="1"/>
  <c r="F81" i="1"/>
  <c r="G79" i="5" l="1"/>
  <c r="E80" i="5"/>
  <c r="F80" i="5" s="1"/>
  <c r="F83" i="4"/>
  <c r="F83" i="2"/>
  <c r="E84" i="2"/>
  <c r="D83" i="1"/>
  <c r="E83" i="1" s="1"/>
  <c r="F82" i="1"/>
  <c r="G80" i="5" l="1"/>
  <c r="E81" i="5"/>
  <c r="F81" i="5" s="1"/>
  <c r="F84" i="4"/>
  <c r="E85" i="2"/>
  <c r="F84" i="2"/>
  <c r="D84" i="1"/>
  <c r="E84" i="1" s="1"/>
  <c r="F83" i="1"/>
  <c r="G81" i="5" l="1"/>
  <c r="E82" i="5"/>
  <c r="F82" i="5" s="1"/>
  <c r="F85" i="4"/>
  <c r="F86" i="4"/>
  <c r="F85" i="2"/>
  <c r="E86" i="2"/>
  <c r="D85" i="1"/>
  <c r="E85" i="1" s="1"/>
  <c r="F84" i="1"/>
  <c r="G82" i="5" l="1"/>
  <c r="E83" i="5"/>
  <c r="F83" i="5" s="1"/>
  <c r="F86" i="2"/>
  <c r="E87" i="2"/>
  <c r="D86" i="1"/>
  <c r="E86" i="1" s="1"/>
  <c r="F85" i="1"/>
  <c r="G83" i="5" l="1"/>
  <c r="E84" i="5"/>
  <c r="F84" i="5" s="1"/>
  <c r="F87" i="4"/>
  <c r="F88" i="4"/>
  <c r="F87" i="2"/>
  <c r="E88" i="2"/>
  <c r="D87" i="1"/>
  <c r="E87" i="1" s="1"/>
  <c r="F86" i="1"/>
  <c r="G84" i="5" l="1"/>
  <c r="E85" i="5"/>
  <c r="F85" i="5" s="1"/>
  <c r="E89" i="2"/>
  <c r="F88" i="2"/>
  <c r="D88" i="1"/>
  <c r="E88" i="1" s="1"/>
  <c r="F87" i="1"/>
  <c r="G85" i="5" l="1"/>
  <c r="E86" i="5"/>
  <c r="F86" i="5" s="1"/>
  <c r="F89" i="4"/>
  <c r="F89" i="2"/>
  <c r="E90" i="2"/>
  <c r="D89" i="1"/>
  <c r="E89" i="1" s="1"/>
  <c r="F88" i="1"/>
  <c r="G86" i="5" l="1"/>
  <c r="E87" i="5"/>
  <c r="F87" i="5" s="1"/>
  <c r="F90" i="4"/>
  <c r="F90" i="2"/>
  <c r="E91" i="2"/>
  <c r="D90" i="1"/>
  <c r="E90" i="1" s="1"/>
  <c r="F89" i="1"/>
  <c r="G87" i="5" l="1"/>
  <c r="E88" i="5"/>
  <c r="F88" i="5" s="1"/>
  <c r="F91" i="4"/>
  <c r="F91" i="2"/>
  <c r="E92" i="2"/>
  <c r="D91" i="1"/>
  <c r="E91" i="1" s="1"/>
  <c r="F90" i="1"/>
  <c r="G88" i="5" l="1"/>
  <c r="E89" i="5"/>
  <c r="F89" i="5" s="1"/>
  <c r="F92" i="4"/>
  <c r="F92" i="2"/>
  <c r="E93" i="2"/>
  <c r="D92" i="1"/>
  <c r="E92" i="1" s="1"/>
  <c r="F91" i="1"/>
  <c r="G89" i="5" l="1"/>
  <c r="E90" i="5"/>
  <c r="F90" i="5" s="1"/>
  <c r="F93" i="4"/>
  <c r="F94" i="4"/>
  <c r="F93" i="2"/>
  <c r="E94" i="2"/>
  <c r="D93" i="1"/>
  <c r="E93" i="1" s="1"/>
  <c r="F92" i="1"/>
  <c r="G90" i="5" l="1"/>
  <c r="E91" i="5"/>
  <c r="F91" i="5" s="1"/>
  <c r="F94" i="2"/>
  <c r="E95" i="2"/>
  <c r="D94" i="1"/>
  <c r="E94" i="1" s="1"/>
  <c r="F93" i="1"/>
  <c r="G91" i="5" l="1"/>
  <c r="E92" i="5"/>
  <c r="F92" i="5" s="1"/>
  <c r="F95" i="4"/>
  <c r="F96" i="4"/>
  <c r="F95" i="2"/>
  <c r="E96" i="2"/>
  <c r="D95" i="1"/>
  <c r="E95" i="1" s="1"/>
  <c r="F94" i="1"/>
  <c r="G92" i="5" l="1"/>
  <c r="E93" i="5"/>
  <c r="F93" i="5" s="1"/>
  <c r="F96" i="2"/>
  <c r="E97" i="2"/>
  <c r="D96" i="1"/>
  <c r="E96" i="1" s="1"/>
  <c r="F95" i="1"/>
  <c r="G93" i="5" l="1"/>
  <c r="E94" i="5"/>
  <c r="F94" i="5" s="1"/>
  <c r="F97" i="4"/>
  <c r="F97" i="2"/>
  <c r="E98" i="2"/>
  <c r="D97" i="1"/>
  <c r="E97" i="1" s="1"/>
  <c r="F96" i="1"/>
  <c r="G94" i="5" l="1"/>
  <c r="E95" i="5"/>
  <c r="F95" i="5" s="1"/>
  <c r="F98" i="4"/>
  <c r="F98" i="2"/>
  <c r="E99" i="2"/>
  <c r="D98" i="1"/>
  <c r="E98" i="1" s="1"/>
  <c r="F97" i="1"/>
  <c r="G95" i="5" l="1"/>
  <c r="E96" i="5"/>
  <c r="F96" i="5" s="1"/>
  <c r="F99" i="4"/>
  <c r="F100" i="4"/>
  <c r="F99" i="2"/>
  <c r="E100" i="2"/>
  <c r="D99" i="1"/>
  <c r="E99" i="1" s="1"/>
  <c r="F98" i="1"/>
  <c r="G96" i="5" l="1"/>
  <c r="E97" i="5"/>
  <c r="F97" i="5" s="1"/>
  <c r="E101" i="2"/>
  <c r="F100" i="2"/>
  <c r="D100" i="1"/>
  <c r="E100" i="1" s="1"/>
  <c r="F99" i="1"/>
  <c r="G97" i="5" l="1"/>
  <c r="E98" i="5"/>
  <c r="F98" i="5" s="1"/>
  <c r="F101" i="4"/>
  <c r="F102" i="4"/>
  <c r="E102" i="2"/>
  <c r="F101" i="2"/>
  <c r="D101" i="1"/>
  <c r="E101" i="1" s="1"/>
  <c r="F100" i="1"/>
  <c r="G98" i="5" l="1"/>
  <c r="E99" i="5"/>
  <c r="F99" i="5" s="1"/>
  <c r="F102" i="2"/>
  <c r="E103" i="2"/>
  <c r="D102" i="1"/>
  <c r="E102" i="1" s="1"/>
  <c r="F101" i="1"/>
  <c r="G99" i="5" l="1"/>
  <c r="E100" i="5"/>
  <c r="F100" i="5" s="1"/>
  <c r="F103" i="4"/>
  <c r="F104" i="4"/>
  <c r="F103" i="2"/>
  <c r="E104" i="2"/>
  <c r="D103" i="1"/>
  <c r="E103" i="1" s="1"/>
  <c r="F102" i="1"/>
  <c r="G100" i="5" l="1"/>
  <c r="E101" i="5"/>
  <c r="F101" i="5" s="1"/>
  <c r="F104" i="2"/>
  <c r="E105" i="2"/>
  <c r="D104" i="1"/>
  <c r="E104" i="1" s="1"/>
  <c r="F103" i="1"/>
  <c r="G101" i="5" l="1"/>
  <c r="E102" i="5"/>
  <c r="F102" i="5" s="1"/>
  <c r="F105" i="4"/>
  <c r="F106" i="4"/>
  <c r="F105" i="2"/>
  <c r="E106" i="2"/>
  <c r="D105" i="1"/>
  <c r="E105" i="1" s="1"/>
  <c r="F104" i="1"/>
  <c r="G102" i="5" l="1"/>
  <c r="E103" i="5"/>
  <c r="F103" i="5" s="1"/>
  <c r="F106" i="2"/>
  <c r="E107" i="2"/>
  <c r="D106" i="1"/>
  <c r="E106" i="1" s="1"/>
  <c r="F105" i="1"/>
  <c r="G103" i="5" l="1"/>
  <c r="E104" i="5"/>
  <c r="F104" i="5" s="1"/>
  <c r="F107" i="4"/>
  <c r="F108" i="4"/>
  <c r="F107" i="2"/>
  <c r="E108" i="2"/>
  <c r="D107" i="1"/>
  <c r="E107" i="1" s="1"/>
  <c r="F106" i="1"/>
  <c r="G104" i="5" l="1"/>
  <c r="E105" i="5"/>
  <c r="F105" i="5" s="1"/>
  <c r="E109" i="2"/>
  <c r="F108" i="2"/>
  <c r="D108" i="1"/>
  <c r="E108" i="1" s="1"/>
  <c r="F107" i="1"/>
  <c r="G105" i="5" l="1"/>
  <c r="E106" i="5"/>
  <c r="F106" i="5" s="1"/>
  <c r="F109" i="4"/>
  <c r="E110" i="2"/>
  <c r="F109" i="2"/>
  <c r="D109" i="1"/>
  <c r="E109" i="1" s="1"/>
  <c r="F108" i="1"/>
  <c r="G106" i="5" l="1"/>
  <c r="E107" i="5"/>
  <c r="F107" i="5" s="1"/>
  <c r="F110" i="4"/>
  <c r="F110" i="2"/>
  <c r="E111" i="2"/>
  <c r="D110" i="1"/>
  <c r="E110" i="1" s="1"/>
  <c r="F109" i="1"/>
  <c r="G107" i="5" l="1"/>
  <c r="E108" i="5"/>
  <c r="F108" i="5" s="1"/>
  <c r="F111" i="2"/>
  <c r="E112" i="2"/>
  <c r="D111" i="1"/>
  <c r="E111" i="1" s="1"/>
  <c r="F110" i="1"/>
  <c r="G108" i="5" l="1"/>
  <c r="E109" i="5"/>
  <c r="F109" i="5" s="1"/>
  <c r="E113" i="2"/>
  <c r="F112" i="2"/>
  <c r="D112" i="1"/>
  <c r="E112" i="1" s="1"/>
  <c r="F111" i="1"/>
  <c r="G109" i="5" l="1"/>
  <c r="E110" i="5"/>
  <c r="F110" i="5" s="1"/>
  <c r="F111" i="4"/>
  <c r="F113" i="2"/>
  <c r="E114" i="2"/>
  <c r="D113" i="1"/>
  <c r="E113" i="1" s="1"/>
  <c r="F112" i="1"/>
  <c r="G110" i="5" l="1"/>
  <c r="E111" i="5"/>
  <c r="F111" i="5" s="1"/>
  <c r="F112" i="4"/>
  <c r="F114" i="2"/>
  <c r="E115" i="2"/>
  <c r="D114" i="1"/>
  <c r="E114" i="1" s="1"/>
  <c r="F113" i="1"/>
  <c r="G111" i="5" l="1"/>
  <c r="E112" i="5"/>
  <c r="F112" i="5" s="1"/>
  <c r="F115" i="2"/>
  <c r="E116" i="2"/>
  <c r="D115" i="1"/>
  <c r="E115" i="1" s="1"/>
  <c r="F114" i="1"/>
  <c r="G112" i="5" l="1"/>
  <c r="E113" i="5"/>
  <c r="F113" i="5" s="1"/>
  <c r="F113" i="4"/>
  <c r="F116" i="2"/>
  <c r="E117" i="2"/>
  <c r="D116" i="1"/>
  <c r="E116" i="1" s="1"/>
  <c r="F115" i="1"/>
  <c r="G113" i="5" l="1"/>
  <c r="E114" i="5"/>
  <c r="F114" i="5" s="1"/>
  <c r="F114" i="4"/>
  <c r="F117" i="2"/>
  <c r="E118" i="2"/>
  <c r="D117" i="1"/>
  <c r="E117" i="1" s="1"/>
  <c r="F116" i="1"/>
  <c r="G114" i="5" l="1"/>
  <c r="E115" i="5"/>
  <c r="F115" i="5" s="1"/>
  <c r="F118" i="2"/>
  <c r="E119" i="2"/>
  <c r="D118" i="1"/>
  <c r="E118" i="1" s="1"/>
  <c r="F117" i="1"/>
  <c r="G115" i="5" l="1"/>
  <c r="E116" i="5"/>
  <c r="F116" i="5" s="1"/>
  <c r="F115" i="4"/>
  <c r="F119" i="2"/>
  <c r="E120" i="2"/>
  <c r="D119" i="1"/>
  <c r="E119" i="1" s="1"/>
  <c r="F118" i="1"/>
  <c r="G116" i="5" l="1"/>
  <c r="E117" i="5"/>
  <c r="F117" i="5" s="1"/>
  <c r="F116" i="4"/>
  <c r="F120" i="2"/>
  <c r="E121" i="2"/>
  <c r="D120" i="1"/>
  <c r="E120" i="1" s="1"/>
  <c r="F119" i="1"/>
  <c r="G117" i="5" l="1"/>
  <c r="E118" i="5"/>
  <c r="F118" i="5" s="1"/>
  <c r="F121" i="2"/>
  <c r="E122" i="2"/>
  <c r="D121" i="1"/>
  <c r="E121" i="1" s="1"/>
  <c r="F120" i="1"/>
  <c r="G118" i="5" l="1"/>
  <c r="E119" i="5"/>
  <c r="F119" i="5" s="1"/>
  <c r="F117" i="4"/>
  <c r="F122" i="2"/>
  <c r="E123" i="2"/>
  <c r="D122" i="1"/>
  <c r="E122" i="1" s="1"/>
  <c r="F121" i="1"/>
  <c r="G119" i="5" l="1"/>
  <c r="E120" i="5"/>
  <c r="F120" i="5" s="1"/>
  <c r="F118" i="4"/>
  <c r="F123" i="2"/>
  <c r="E124" i="2"/>
  <c r="D123" i="1"/>
  <c r="E123" i="1" s="1"/>
  <c r="F122" i="1"/>
  <c r="G120" i="5" l="1"/>
  <c r="E121" i="5"/>
  <c r="F121" i="5" s="1"/>
  <c r="E125" i="2"/>
  <c r="F124" i="2"/>
  <c r="D124" i="1"/>
  <c r="E124" i="1" s="1"/>
  <c r="F123" i="1"/>
  <c r="G121" i="5" l="1"/>
  <c r="E122" i="5"/>
  <c r="F122" i="5" s="1"/>
  <c r="F119" i="4"/>
  <c r="E126" i="2"/>
  <c r="F125" i="2"/>
  <c r="D125" i="1"/>
  <c r="E125" i="1" s="1"/>
  <c r="F124" i="1"/>
  <c r="G122" i="5" l="1"/>
  <c r="E123" i="5"/>
  <c r="F123" i="5" s="1"/>
  <c r="F120" i="4"/>
  <c r="F126" i="2"/>
  <c r="E127" i="2"/>
  <c r="D126" i="1"/>
  <c r="E126" i="1" s="1"/>
  <c r="F125" i="1"/>
  <c r="G123" i="5" l="1"/>
  <c r="E124" i="5"/>
  <c r="F124" i="5" s="1"/>
  <c r="F127" i="2"/>
  <c r="E128" i="2"/>
  <c r="D127" i="1"/>
  <c r="E127" i="1" s="1"/>
  <c r="F126" i="1"/>
  <c r="G124" i="5" l="1"/>
  <c r="E125" i="5"/>
  <c r="F125" i="5" s="1"/>
  <c r="F121" i="4"/>
  <c r="F128" i="2"/>
  <c r="E129" i="2"/>
  <c r="D128" i="1"/>
  <c r="E128" i="1" s="1"/>
  <c r="F127" i="1"/>
  <c r="G125" i="5" l="1"/>
  <c r="E126" i="5"/>
  <c r="F126" i="5" s="1"/>
  <c r="F122" i="4"/>
  <c r="F129" i="2"/>
  <c r="E130" i="2"/>
  <c r="D129" i="1"/>
  <c r="E129" i="1" s="1"/>
  <c r="F128" i="1"/>
  <c r="G126" i="5" l="1"/>
  <c r="E127" i="5"/>
  <c r="F127" i="5" s="1"/>
  <c r="F130" i="2"/>
  <c r="E131" i="2"/>
  <c r="D130" i="1"/>
  <c r="E130" i="1" s="1"/>
  <c r="F129" i="1"/>
  <c r="G127" i="5" l="1"/>
  <c r="E128" i="5"/>
  <c r="F128" i="5" s="1"/>
  <c r="F123" i="4"/>
  <c r="F131" i="2"/>
  <c r="E132" i="2"/>
  <c r="D131" i="1"/>
  <c r="E131" i="1" s="1"/>
  <c r="F130" i="1"/>
  <c r="G128" i="5" l="1"/>
  <c r="E129" i="5"/>
  <c r="F129" i="5" s="1"/>
  <c r="F124" i="4"/>
  <c r="F132" i="2"/>
  <c r="E133" i="2"/>
  <c r="D132" i="1"/>
  <c r="E132" i="1" s="1"/>
  <c r="F131" i="1"/>
  <c r="G129" i="5" l="1"/>
  <c r="E130" i="5"/>
  <c r="F130" i="5" s="1"/>
  <c r="F133" i="2"/>
  <c r="E134" i="2"/>
  <c r="D133" i="1"/>
  <c r="E133" i="1" s="1"/>
  <c r="F132" i="1"/>
  <c r="G130" i="5" l="1"/>
  <c r="E131" i="5"/>
  <c r="F131" i="5" s="1"/>
  <c r="F125" i="4"/>
  <c r="F134" i="2"/>
  <c r="E135" i="2"/>
  <c r="D134" i="1"/>
  <c r="E134" i="1" s="1"/>
  <c r="F133" i="1"/>
  <c r="G131" i="5" l="1"/>
  <c r="E132" i="5"/>
  <c r="F132" i="5" s="1"/>
  <c r="F126" i="4"/>
  <c r="F135" i="2"/>
  <c r="E136" i="2"/>
  <c r="D135" i="1"/>
  <c r="E135" i="1" s="1"/>
  <c r="F134" i="1"/>
  <c r="G132" i="5" l="1"/>
  <c r="E133" i="5"/>
  <c r="F133" i="5" s="1"/>
  <c r="E137" i="2"/>
  <c r="F136" i="2"/>
  <c r="D136" i="1"/>
  <c r="E136" i="1" s="1"/>
  <c r="F135" i="1"/>
  <c r="G133" i="5" l="1"/>
  <c r="E134" i="5"/>
  <c r="F134" i="5" s="1"/>
  <c r="F127" i="4"/>
  <c r="F137" i="2"/>
  <c r="E138" i="2"/>
  <c r="D137" i="1"/>
  <c r="E137" i="1" s="1"/>
  <c r="F136" i="1"/>
  <c r="G134" i="5" l="1"/>
  <c r="E135" i="5"/>
  <c r="F135" i="5" s="1"/>
  <c r="F128" i="4"/>
  <c r="F138" i="2"/>
  <c r="E139" i="2"/>
  <c r="D138" i="1"/>
  <c r="E138" i="1" s="1"/>
  <c r="F137" i="1"/>
  <c r="G135" i="5" l="1"/>
  <c r="E136" i="5"/>
  <c r="F136" i="5" s="1"/>
  <c r="F139" i="2"/>
  <c r="E140" i="2"/>
  <c r="D139" i="1"/>
  <c r="E139" i="1" s="1"/>
  <c r="F138" i="1"/>
  <c r="G136" i="5" l="1"/>
  <c r="E137" i="5"/>
  <c r="F137" i="5" s="1"/>
  <c r="F129" i="4"/>
  <c r="E141" i="2"/>
  <c r="F140" i="2"/>
  <c r="D140" i="1"/>
  <c r="E140" i="1" s="1"/>
  <c r="F139" i="1"/>
  <c r="G137" i="5" l="1"/>
  <c r="E138" i="5"/>
  <c r="F138" i="5" s="1"/>
  <c r="F130" i="4"/>
  <c r="F141" i="2"/>
  <c r="E142" i="2"/>
  <c r="D141" i="1"/>
  <c r="E141" i="1" s="1"/>
  <c r="F140" i="1"/>
  <c r="G138" i="5" l="1"/>
  <c r="E139" i="5"/>
  <c r="F139" i="5" s="1"/>
  <c r="F142" i="2"/>
  <c r="E143" i="2"/>
  <c r="D142" i="1"/>
  <c r="E142" i="1" s="1"/>
  <c r="F141" i="1"/>
  <c r="G139" i="5" l="1"/>
  <c r="E140" i="5"/>
  <c r="F140" i="5" s="1"/>
  <c r="F131" i="4"/>
  <c r="F143" i="2"/>
  <c r="E144" i="2"/>
  <c r="D143" i="1"/>
  <c r="E143" i="1" s="1"/>
  <c r="F142" i="1"/>
  <c r="G140" i="5" l="1"/>
  <c r="E141" i="5"/>
  <c r="F141" i="5" s="1"/>
  <c r="F132" i="4"/>
  <c r="F144" i="2"/>
  <c r="E145" i="2"/>
  <c r="D144" i="1"/>
  <c r="E144" i="1" s="1"/>
  <c r="F143" i="1"/>
  <c r="G141" i="5" l="1"/>
  <c r="E142" i="5"/>
  <c r="F142" i="5" s="1"/>
  <c r="F145" i="2"/>
  <c r="E146" i="2"/>
  <c r="D145" i="1"/>
  <c r="E145" i="1" s="1"/>
  <c r="F144" i="1"/>
  <c r="G142" i="5" l="1"/>
  <c r="E143" i="5"/>
  <c r="F143" i="5" s="1"/>
  <c r="F133" i="4"/>
  <c r="F146" i="2"/>
  <c r="E147" i="2"/>
  <c r="D146" i="1"/>
  <c r="E146" i="1" s="1"/>
  <c r="F145" i="1"/>
  <c r="G143" i="5" l="1"/>
  <c r="E144" i="5"/>
  <c r="F144" i="5" s="1"/>
  <c r="F134" i="4"/>
  <c r="F147" i="2"/>
  <c r="E148" i="2"/>
  <c r="D147" i="1"/>
  <c r="E147" i="1" s="1"/>
  <c r="F146" i="1"/>
  <c r="G144" i="5" l="1"/>
  <c r="E145" i="5"/>
  <c r="F145" i="5" s="1"/>
  <c r="E149" i="2"/>
  <c r="F148" i="2"/>
  <c r="D148" i="1"/>
  <c r="E148" i="1" s="1"/>
  <c r="F147" i="1"/>
  <c r="G145" i="5" l="1"/>
  <c r="E146" i="5"/>
  <c r="F146" i="5" s="1"/>
  <c r="F135" i="4"/>
  <c r="E150" i="2"/>
  <c r="F149" i="2"/>
  <c r="D149" i="1"/>
  <c r="E149" i="1" s="1"/>
  <c r="F148" i="1"/>
  <c r="G146" i="5" l="1"/>
  <c r="E147" i="5"/>
  <c r="F147" i="5" s="1"/>
  <c r="F136" i="4"/>
  <c r="F150" i="2"/>
  <c r="E151" i="2"/>
  <c r="D150" i="1"/>
  <c r="E150" i="1" s="1"/>
  <c r="F149" i="1"/>
  <c r="G147" i="5" l="1"/>
  <c r="E148" i="5"/>
  <c r="F148" i="5" s="1"/>
  <c r="F151" i="2"/>
  <c r="E152" i="2"/>
  <c r="D151" i="1"/>
  <c r="E151" i="1" s="1"/>
  <c r="F150" i="1"/>
  <c r="G148" i="5" l="1"/>
  <c r="E149" i="5"/>
  <c r="F149" i="5" s="1"/>
  <c r="F137" i="4"/>
  <c r="F152" i="2"/>
  <c r="E153" i="2"/>
  <c r="D152" i="1"/>
  <c r="E152" i="1" s="1"/>
  <c r="F151" i="1"/>
  <c r="G149" i="5" l="1"/>
  <c r="E150" i="5"/>
  <c r="F150" i="5" s="1"/>
  <c r="F138" i="4"/>
  <c r="F153" i="2"/>
  <c r="E154" i="2"/>
  <c r="D153" i="1"/>
  <c r="E153" i="1" s="1"/>
  <c r="F152" i="1"/>
  <c r="G150" i="5" l="1"/>
  <c r="E151" i="5"/>
  <c r="F151" i="5" s="1"/>
  <c r="F154" i="2"/>
  <c r="E155" i="2"/>
  <c r="D154" i="1"/>
  <c r="E154" i="1" s="1"/>
  <c r="F153" i="1"/>
  <c r="G151" i="5" l="1"/>
  <c r="E152" i="5"/>
  <c r="F152" i="5" s="1"/>
  <c r="F139" i="4"/>
  <c r="F155" i="2"/>
  <c r="E156" i="2"/>
  <c r="D155" i="1"/>
  <c r="E155" i="1" s="1"/>
  <c r="F154" i="1"/>
  <c r="G152" i="5" l="1"/>
  <c r="E153" i="5"/>
  <c r="F153" i="5" s="1"/>
  <c r="F140" i="4"/>
  <c r="E157" i="2"/>
  <c r="F156" i="2"/>
  <c r="D156" i="1"/>
  <c r="E156" i="1" s="1"/>
  <c r="F155" i="1"/>
  <c r="G153" i="5" l="1"/>
  <c r="E154" i="5"/>
  <c r="F154" i="5" s="1"/>
  <c r="F157" i="2"/>
  <c r="E158" i="2"/>
  <c r="D157" i="1"/>
  <c r="E157" i="1" s="1"/>
  <c r="F156" i="1"/>
  <c r="G154" i="5" l="1"/>
  <c r="E155" i="5"/>
  <c r="F155" i="5" s="1"/>
  <c r="F141" i="4"/>
  <c r="F158" i="2"/>
  <c r="E159" i="2"/>
  <c r="D158" i="1"/>
  <c r="E158" i="1" s="1"/>
  <c r="F157" i="1"/>
  <c r="G155" i="5" l="1"/>
  <c r="E156" i="5"/>
  <c r="F156" i="5" s="1"/>
  <c r="F142" i="4"/>
  <c r="F159" i="2"/>
  <c r="E160" i="2"/>
  <c r="D159" i="1"/>
  <c r="E159" i="1" s="1"/>
  <c r="F158" i="1"/>
  <c r="G156" i="5" l="1"/>
  <c r="E157" i="5"/>
  <c r="F157" i="5" s="1"/>
  <c r="E161" i="2"/>
  <c r="F160" i="2"/>
  <c r="D160" i="1"/>
  <c r="E160" i="1" s="1"/>
  <c r="F159" i="1"/>
  <c r="G157" i="5" l="1"/>
  <c r="E158" i="5"/>
  <c r="F158" i="5" s="1"/>
  <c r="F143" i="4"/>
  <c r="E162" i="2"/>
  <c r="F161" i="2"/>
  <c r="D161" i="1"/>
  <c r="E161" i="1" s="1"/>
  <c r="F160" i="1"/>
  <c r="G158" i="5" l="1"/>
  <c r="E159" i="5"/>
  <c r="F159" i="5" s="1"/>
  <c r="F144" i="4"/>
  <c r="F162" i="2"/>
  <c r="E163" i="2"/>
  <c r="D162" i="1"/>
  <c r="E162" i="1" s="1"/>
  <c r="F161" i="1"/>
  <c r="G159" i="5" l="1"/>
  <c r="E160" i="5"/>
  <c r="F160" i="5" s="1"/>
  <c r="F163" i="2"/>
  <c r="E164" i="2"/>
  <c r="D163" i="1"/>
  <c r="E163" i="1" s="1"/>
  <c r="F162" i="1"/>
  <c r="G160" i="5" l="1"/>
  <c r="E161" i="5"/>
  <c r="F161" i="5" s="1"/>
  <c r="F145" i="4"/>
  <c r="E165" i="2"/>
  <c r="F164" i="2"/>
  <c r="D164" i="1"/>
  <c r="E164" i="1" s="1"/>
  <c r="F163" i="1"/>
  <c r="G161" i="5" l="1"/>
  <c r="E162" i="5"/>
  <c r="F162" i="5" s="1"/>
  <c r="F146" i="4"/>
  <c r="F165" i="2"/>
  <c r="E166" i="2"/>
  <c r="D165" i="1"/>
  <c r="E165" i="1" s="1"/>
  <c r="F164" i="1"/>
  <c r="G162" i="5" l="1"/>
  <c r="E163" i="5"/>
  <c r="F163" i="5" s="1"/>
  <c r="F166" i="2"/>
  <c r="E167" i="2"/>
  <c r="D166" i="1"/>
  <c r="E166" i="1" s="1"/>
  <c r="F165" i="1"/>
  <c r="G163" i="5" l="1"/>
  <c r="E164" i="5"/>
  <c r="F164" i="5" s="1"/>
  <c r="F147" i="4"/>
  <c r="F167" i="2"/>
  <c r="E168" i="2"/>
  <c r="D167" i="1"/>
  <c r="E167" i="1" s="1"/>
  <c r="F166" i="1"/>
  <c r="G164" i="5" l="1"/>
  <c r="E165" i="5"/>
  <c r="F165" i="5" s="1"/>
  <c r="F148" i="4"/>
  <c r="F168" i="2"/>
  <c r="E169" i="2"/>
  <c r="D168" i="1"/>
  <c r="E168" i="1" s="1"/>
  <c r="F167" i="1"/>
  <c r="G165" i="5" l="1"/>
  <c r="E166" i="5"/>
  <c r="F166" i="5" s="1"/>
  <c r="F169" i="2"/>
  <c r="E170" i="2"/>
  <c r="D169" i="1"/>
  <c r="E169" i="1" s="1"/>
  <c r="F168" i="1"/>
  <c r="G166" i="5" l="1"/>
  <c r="E167" i="5"/>
  <c r="F167" i="5" s="1"/>
  <c r="F149" i="4"/>
  <c r="F170" i="2"/>
  <c r="E171" i="2"/>
  <c r="D170" i="1"/>
  <c r="E170" i="1" s="1"/>
  <c r="F169" i="1"/>
  <c r="G167" i="5" l="1"/>
  <c r="E168" i="5"/>
  <c r="F168" i="5" s="1"/>
  <c r="F150" i="4"/>
  <c r="F171" i="2"/>
  <c r="E172" i="2"/>
  <c r="D171" i="1"/>
  <c r="E171" i="1" s="1"/>
  <c r="F170" i="1"/>
  <c r="G168" i="5" l="1"/>
  <c r="E169" i="5"/>
  <c r="F169" i="5" s="1"/>
  <c r="E173" i="2"/>
  <c r="F172" i="2"/>
  <c r="D172" i="1"/>
  <c r="E172" i="1" s="1"/>
  <c r="F171" i="1"/>
  <c r="G169" i="5" l="1"/>
  <c r="E170" i="5"/>
  <c r="F170" i="5" s="1"/>
  <c r="F151" i="4"/>
  <c r="F173" i="2"/>
  <c r="E174" i="2"/>
  <c r="D173" i="1"/>
  <c r="E173" i="1" s="1"/>
  <c r="F172" i="1"/>
  <c r="G170" i="5" l="1"/>
  <c r="E171" i="5"/>
  <c r="F171" i="5" s="1"/>
  <c r="F152" i="4"/>
  <c r="F174" i="2"/>
  <c r="E175" i="2"/>
  <c r="D174" i="1"/>
  <c r="E174" i="1" s="1"/>
  <c r="F173" i="1"/>
  <c r="G171" i="5" l="1"/>
  <c r="E172" i="5"/>
  <c r="F172" i="5" s="1"/>
  <c r="F175" i="2"/>
  <c r="E176" i="2"/>
  <c r="D175" i="1"/>
  <c r="E175" i="1" s="1"/>
  <c r="F174" i="1"/>
  <c r="G172" i="5" l="1"/>
  <c r="E173" i="5"/>
  <c r="F173" i="5" s="1"/>
  <c r="F153" i="4"/>
  <c r="F176" i="2"/>
  <c r="E177" i="2"/>
  <c r="D176" i="1"/>
  <c r="E176" i="1" s="1"/>
  <c r="F175" i="1"/>
  <c r="G173" i="5" l="1"/>
  <c r="E174" i="5"/>
  <c r="F174" i="5" s="1"/>
  <c r="F154" i="4"/>
  <c r="F177" i="2"/>
  <c r="E178" i="2"/>
  <c r="D177" i="1"/>
  <c r="E177" i="1" s="1"/>
  <c r="F176" i="1"/>
  <c r="G174" i="5" l="1"/>
  <c r="E175" i="5"/>
  <c r="F175" i="5" s="1"/>
  <c r="F178" i="2"/>
  <c r="E179" i="2"/>
  <c r="D178" i="1"/>
  <c r="E178" i="1" s="1"/>
  <c r="F177" i="1"/>
  <c r="G175" i="5" l="1"/>
  <c r="E176" i="5"/>
  <c r="F176" i="5" s="1"/>
  <c r="F155" i="4"/>
  <c r="F179" i="2"/>
  <c r="E180" i="2"/>
  <c r="D179" i="1"/>
  <c r="E179" i="1" s="1"/>
  <c r="F178" i="1"/>
  <c r="G176" i="5" l="1"/>
  <c r="E177" i="5"/>
  <c r="F177" i="5" s="1"/>
  <c r="F156" i="4"/>
  <c r="E181" i="2"/>
  <c r="F180" i="2"/>
  <c r="D180" i="1"/>
  <c r="E180" i="1" s="1"/>
  <c r="F179" i="1"/>
  <c r="G177" i="5" l="1"/>
  <c r="E178" i="5"/>
  <c r="F178" i="5" s="1"/>
  <c r="E182" i="2"/>
  <c r="F181" i="2"/>
  <c r="D181" i="1"/>
  <c r="E181" i="1" s="1"/>
  <c r="F180" i="1"/>
  <c r="G178" i="5" l="1"/>
  <c r="E179" i="5"/>
  <c r="F179" i="5" s="1"/>
  <c r="F157" i="4"/>
  <c r="F182" i="2"/>
  <c r="E183" i="2"/>
  <c r="D182" i="1"/>
  <c r="E182" i="1" s="1"/>
  <c r="F181" i="1"/>
  <c r="G179" i="5" l="1"/>
  <c r="E180" i="5"/>
  <c r="F180" i="5" s="1"/>
  <c r="F158" i="4"/>
  <c r="F183" i="2"/>
  <c r="E184" i="2"/>
  <c r="D183" i="1"/>
  <c r="E183" i="1" s="1"/>
  <c r="F182" i="1"/>
  <c r="G180" i="5" l="1"/>
  <c r="E181" i="5"/>
  <c r="F181" i="5" s="1"/>
  <c r="E185" i="2"/>
  <c r="F184" i="2"/>
  <c r="D184" i="1"/>
  <c r="E184" i="1" s="1"/>
  <c r="F183" i="1"/>
  <c r="G181" i="5" l="1"/>
  <c r="E182" i="5"/>
  <c r="F182" i="5" s="1"/>
  <c r="F159" i="4"/>
  <c r="F185" i="2"/>
  <c r="E186" i="2"/>
  <c r="D185" i="1"/>
  <c r="E185" i="1" s="1"/>
  <c r="F184" i="1"/>
  <c r="G182" i="5" l="1"/>
  <c r="E183" i="5"/>
  <c r="F183" i="5" s="1"/>
  <c r="F160" i="4"/>
  <c r="F186" i="2"/>
  <c r="E187" i="2"/>
  <c r="D186" i="1"/>
  <c r="E186" i="1" s="1"/>
  <c r="F185" i="1"/>
  <c r="G183" i="5" l="1"/>
  <c r="E184" i="5"/>
  <c r="F184" i="5" s="1"/>
  <c r="F187" i="2"/>
  <c r="E188" i="2"/>
  <c r="D187" i="1"/>
  <c r="E187" i="1" s="1"/>
  <c r="F186" i="1"/>
  <c r="G184" i="5" l="1"/>
  <c r="E185" i="5"/>
  <c r="F185" i="5" s="1"/>
  <c r="F161" i="4"/>
  <c r="F188" i="2"/>
  <c r="E189" i="2"/>
  <c r="D188" i="1"/>
  <c r="E188" i="1" s="1"/>
  <c r="F187" i="1"/>
  <c r="G185" i="5" l="1"/>
  <c r="E186" i="5"/>
  <c r="F186" i="5" s="1"/>
  <c r="F162" i="4"/>
  <c r="F189" i="2"/>
  <c r="E190" i="2"/>
  <c r="D189" i="1"/>
  <c r="E189" i="1" s="1"/>
  <c r="F188" i="1"/>
  <c r="G186" i="5" l="1"/>
  <c r="E187" i="5"/>
  <c r="F187" i="5" s="1"/>
  <c r="F190" i="2"/>
  <c r="E191" i="2"/>
  <c r="D190" i="1"/>
  <c r="E190" i="1" s="1"/>
  <c r="F189" i="1"/>
  <c r="G187" i="5" l="1"/>
  <c r="E188" i="5"/>
  <c r="F188" i="5" s="1"/>
  <c r="F163" i="4"/>
  <c r="F191" i="2"/>
  <c r="E192" i="2"/>
  <c r="D191" i="1"/>
  <c r="E191" i="1" s="1"/>
  <c r="F190" i="1"/>
  <c r="G188" i="5" l="1"/>
  <c r="E189" i="5"/>
  <c r="F189" i="5" s="1"/>
  <c r="F164" i="4"/>
  <c r="F192" i="2"/>
  <c r="E193" i="2"/>
  <c r="D192" i="1"/>
  <c r="E192" i="1" s="1"/>
  <c r="F191" i="1"/>
  <c r="G189" i="5" l="1"/>
  <c r="E190" i="5"/>
  <c r="F190" i="5" s="1"/>
  <c r="F193" i="2"/>
  <c r="E194" i="2"/>
  <c r="D193" i="1"/>
  <c r="E193" i="1" s="1"/>
  <c r="F192" i="1"/>
  <c r="G190" i="5" l="1"/>
  <c r="E191" i="5"/>
  <c r="F191" i="5" s="1"/>
  <c r="F165" i="4"/>
  <c r="F194" i="2"/>
  <c r="E195" i="2"/>
  <c r="D194" i="1"/>
  <c r="E194" i="1" s="1"/>
  <c r="F193" i="1"/>
  <c r="G191" i="5" l="1"/>
  <c r="E192" i="5"/>
  <c r="F192" i="5" s="1"/>
  <c r="F166" i="4"/>
  <c r="F195" i="2"/>
  <c r="E196" i="2"/>
  <c r="D195" i="1"/>
  <c r="E195" i="1" s="1"/>
  <c r="F194" i="1"/>
  <c r="G192" i="5" l="1"/>
  <c r="E193" i="5"/>
  <c r="F193" i="5" s="1"/>
  <c r="E197" i="2"/>
  <c r="F196" i="2"/>
  <c r="D196" i="1"/>
  <c r="E196" i="1" s="1"/>
  <c r="F195" i="1"/>
  <c r="G193" i="5" l="1"/>
  <c r="E194" i="5"/>
  <c r="F194" i="5" s="1"/>
  <c r="F167" i="4"/>
  <c r="E198" i="2"/>
  <c r="F197" i="2"/>
  <c r="D197" i="1"/>
  <c r="E197" i="1" s="1"/>
  <c r="F196" i="1"/>
  <c r="G194" i="5" l="1"/>
  <c r="E195" i="5"/>
  <c r="F195" i="5" s="1"/>
  <c r="F168" i="4"/>
  <c r="F198" i="2"/>
  <c r="E199" i="2"/>
  <c r="D198" i="1"/>
  <c r="E198" i="1" s="1"/>
  <c r="F197" i="1"/>
  <c r="G195" i="5" l="1"/>
  <c r="E196" i="5"/>
  <c r="F196" i="5" s="1"/>
  <c r="F199" i="2"/>
  <c r="E200" i="2"/>
  <c r="D199" i="1"/>
  <c r="E199" i="1" s="1"/>
  <c r="F198" i="1"/>
  <c r="G196" i="5" l="1"/>
  <c r="E197" i="5"/>
  <c r="F197" i="5" s="1"/>
  <c r="F169" i="4"/>
  <c r="F200" i="2"/>
  <c r="E201" i="2"/>
  <c r="D200" i="1"/>
  <c r="E200" i="1" s="1"/>
  <c r="F199" i="1"/>
  <c r="G197" i="5" l="1"/>
  <c r="E198" i="5"/>
  <c r="F198" i="5" s="1"/>
  <c r="F170" i="4"/>
  <c r="F201" i="2"/>
  <c r="E202" i="2"/>
  <c r="D201" i="1"/>
  <c r="E201" i="1" s="1"/>
  <c r="F200" i="1"/>
  <c r="G198" i="5" l="1"/>
  <c r="E199" i="5"/>
  <c r="F199" i="5" s="1"/>
  <c r="F202" i="2"/>
  <c r="E203" i="2"/>
  <c r="D202" i="1"/>
  <c r="E202" i="1" s="1"/>
  <c r="F201" i="1"/>
  <c r="G199" i="5" l="1"/>
  <c r="E200" i="5"/>
  <c r="F200" i="5" s="1"/>
  <c r="F171" i="4"/>
  <c r="F203" i="2"/>
  <c r="E204" i="2"/>
  <c r="D203" i="1"/>
  <c r="E203" i="1" s="1"/>
  <c r="F202" i="1"/>
  <c r="G200" i="5" l="1"/>
  <c r="E201" i="5"/>
  <c r="F201" i="5" s="1"/>
  <c r="F172" i="4"/>
  <c r="E205" i="2"/>
  <c r="F204" i="2"/>
  <c r="D204" i="1"/>
  <c r="E204" i="1" s="1"/>
  <c r="F203" i="1"/>
  <c r="G201" i="5" l="1"/>
  <c r="E202" i="5"/>
  <c r="F202" i="5" s="1"/>
  <c r="E206" i="2"/>
  <c r="F205" i="2"/>
  <c r="D205" i="1"/>
  <c r="E205" i="1" s="1"/>
  <c r="F204" i="1"/>
  <c r="G202" i="5" l="1"/>
  <c r="E203" i="5"/>
  <c r="F203" i="5" s="1"/>
  <c r="F173" i="4"/>
  <c r="F206" i="2"/>
  <c r="E207" i="2"/>
  <c r="D206" i="1"/>
  <c r="E206" i="1" s="1"/>
  <c r="F205" i="1"/>
  <c r="G203" i="5" l="1"/>
  <c r="E204" i="5"/>
  <c r="F204" i="5" s="1"/>
  <c r="F174" i="4"/>
  <c r="F207" i="2"/>
  <c r="E208" i="2"/>
  <c r="D207" i="1"/>
  <c r="E207" i="1" s="1"/>
  <c r="F206" i="1"/>
  <c r="G204" i="5" l="1"/>
  <c r="E205" i="5"/>
  <c r="F205" i="5" s="1"/>
  <c r="F208" i="2"/>
  <c r="E209" i="2"/>
  <c r="D208" i="1"/>
  <c r="E208" i="1" s="1"/>
  <c r="F207" i="1"/>
  <c r="G205" i="5" l="1"/>
  <c r="E206" i="5"/>
  <c r="F206" i="5" s="1"/>
  <c r="F175" i="4"/>
  <c r="E210" i="2"/>
  <c r="F209" i="2"/>
  <c r="D209" i="1"/>
  <c r="E209" i="1" s="1"/>
  <c r="F208" i="1"/>
  <c r="G206" i="5" l="1"/>
  <c r="E207" i="5"/>
  <c r="F207" i="5" s="1"/>
  <c r="F176" i="4"/>
  <c r="F210" i="2"/>
  <c r="E211" i="2"/>
  <c r="D210" i="1"/>
  <c r="E210" i="1" s="1"/>
  <c r="F209" i="1"/>
  <c r="G207" i="5" l="1"/>
  <c r="E208" i="5"/>
  <c r="F208" i="5" s="1"/>
  <c r="F211" i="2"/>
  <c r="E212" i="2"/>
  <c r="D211" i="1"/>
  <c r="E211" i="1" s="1"/>
  <c r="F210" i="1"/>
  <c r="G208" i="5" l="1"/>
  <c r="E209" i="5"/>
  <c r="F209" i="5" s="1"/>
  <c r="F177" i="4"/>
  <c r="F212" i="2"/>
  <c r="E213" i="2"/>
  <c r="D212" i="1"/>
  <c r="E212" i="1" s="1"/>
  <c r="F211" i="1"/>
  <c r="G209" i="5" l="1"/>
  <c r="E210" i="5"/>
  <c r="F210" i="5" s="1"/>
  <c r="F178" i="4"/>
  <c r="F213" i="2"/>
  <c r="E214" i="2"/>
  <c r="D213" i="1"/>
  <c r="E213" i="1" s="1"/>
  <c r="F212" i="1"/>
  <c r="G210" i="5" l="1"/>
  <c r="E211" i="5"/>
  <c r="F211" i="5" s="1"/>
  <c r="F214" i="2"/>
  <c r="E215" i="2"/>
  <c r="D214" i="1"/>
  <c r="E214" i="1" s="1"/>
  <c r="F213" i="1"/>
  <c r="G211" i="5" l="1"/>
  <c r="E212" i="5"/>
  <c r="F212" i="5" s="1"/>
  <c r="F179" i="4"/>
  <c r="F215" i="2"/>
  <c r="E216" i="2"/>
  <c r="D215" i="1"/>
  <c r="E215" i="1" s="1"/>
  <c r="F214" i="1"/>
  <c r="G212" i="5" l="1"/>
  <c r="E213" i="5"/>
  <c r="F213" i="5" s="1"/>
  <c r="F180" i="4"/>
  <c r="F216" i="2"/>
  <c r="E217" i="2"/>
  <c r="D216" i="1"/>
  <c r="E216" i="1" s="1"/>
  <c r="F215" i="1"/>
  <c r="G213" i="5" l="1"/>
  <c r="E214" i="5"/>
  <c r="F214" i="5" s="1"/>
  <c r="F217" i="2"/>
  <c r="E218" i="2"/>
  <c r="D217" i="1"/>
  <c r="E217" i="1" s="1"/>
  <c r="F216" i="1"/>
  <c r="G214" i="5" l="1"/>
  <c r="E215" i="5"/>
  <c r="F215" i="5" s="1"/>
  <c r="F181" i="4"/>
  <c r="F218" i="2"/>
  <c r="E219" i="2"/>
  <c r="D218" i="1"/>
  <c r="E218" i="1" s="1"/>
  <c r="F217" i="1"/>
  <c r="G215" i="5" l="1"/>
  <c r="E216" i="5"/>
  <c r="F216" i="5" s="1"/>
  <c r="F182" i="4"/>
  <c r="F219" i="2"/>
  <c r="E220" i="2"/>
  <c r="D219" i="1"/>
  <c r="E219" i="1" s="1"/>
  <c r="F218" i="1"/>
  <c r="G216" i="5" l="1"/>
  <c r="E217" i="5"/>
  <c r="F217" i="5" s="1"/>
  <c r="F220" i="2"/>
  <c r="E221" i="2"/>
  <c r="D220" i="1"/>
  <c r="E220" i="1" s="1"/>
  <c r="F219" i="1"/>
  <c r="G217" i="5" l="1"/>
  <c r="E218" i="5"/>
  <c r="F218" i="5" s="1"/>
  <c r="F183" i="4"/>
  <c r="F221" i="2"/>
  <c r="E222" i="2"/>
  <c r="D221" i="1"/>
  <c r="E221" i="1" s="1"/>
  <c r="F220" i="1"/>
  <c r="G218" i="5" l="1"/>
  <c r="E219" i="5"/>
  <c r="F219" i="5" s="1"/>
  <c r="F184" i="4"/>
  <c r="F222" i="2"/>
  <c r="E223" i="2"/>
  <c r="D222" i="1"/>
  <c r="E222" i="1" s="1"/>
  <c r="F221" i="1"/>
  <c r="G219" i="5" l="1"/>
  <c r="E220" i="5"/>
  <c r="F220" i="5" s="1"/>
  <c r="F223" i="2"/>
  <c r="E224" i="2"/>
  <c r="D223" i="1"/>
  <c r="E223" i="1" s="1"/>
  <c r="F222" i="1"/>
  <c r="G220" i="5" l="1"/>
  <c r="E221" i="5"/>
  <c r="F221" i="5" s="1"/>
  <c r="F185" i="4"/>
  <c r="F224" i="2"/>
  <c r="E225" i="2"/>
  <c r="D224" i="1"/>
  <c r="E224" i="1" s="1"/>
  <c r="F223" i="1"/>
  <c r="G221" i="5" l="1"/>
  <c r="E222" i="5"/>
  <c r="F222" i="5" s="1"/>
  <c r="F186" i="4"/>
  <c r="F225" i="2"/>
  <c r="E226" i="2"/>
  <c r="D225" i="1"/>
  <c r="E225" i="1" s="1"/>
  <c r="F224" i="1"/>
  <c r="G222" i="5" l="1"/>
  <c r="E223" i="5"/>
  <c r="F223" i="5" s="1"/>
  <c r="F226" i="2"/>
  <c r="E227" i="2"/>
  <c r="D226" i="1"/>
  <c r="E226" i="1" s="1"/>
  <c r="F225" i="1"/>
  <c r="G223" i="5" l="1"/>
  <c r="E224" i="5"/>
  <c r="F224" i="5" s="1"/>
  <c r="F187" i="4"/>
  <c r="F227" i="2"/>
  <c r="E228" i="2"/>
  <c r="D227" i="1"/>
  <c r="E227" i="1" s="1"/>
  <c r="F226" i="1"/>
  <c r="G224" i="5" l="1"/>
  <c r="E225" i="5"/>
  <c r="F225" i="5" s="1"/>
  <c r="F188" i="4"/>
  <c r="F228" i="2"/>
  <c r="E229" i="2"/>
  <c r="D228" i="1"/>
  <c r="E228" i="1" s="1"/>
  <c r="F227" i="1"/>
  <c r="G225" i="5" l="1"/>
  <c r="E226" i="5"/>
  <c r="F226" i="5" s="1"/>
  <c r="F229" i="2"/>
  <c r="E230" i="2"/>
  <c r="D229" i="1"/>
  <c r="E229" i="1" s="1"/>
  <c r="F228" i="1"/>
  <c r="G226" i="5" l="1"/>
  <c r="E227" i="5"/>
  <c r="F227" i="5" s="1"/>
  <c r="F189" i="4"/>
  <c r="F230" i="2"/>
  <c r="E231" i="2"/>
  <c r="D230" i="1"/>
  <c r="E230" i="1" s="1"/>
  <c r="F229" i="1"/>
  <c r="G227" i="5" l="1"/>
  <c r="E228" i="5"/>
  <c r="F228" i="5" s="1"/>
  <c r="F190" i="4"/>
  <c r="F231" i="2"/>
  <c r="E232" i="2"/>
  <c r="D231" i="1"/>
  <c r="E231" i="1" s="1"/>
  <c r="F230" i="1"/>
  <c r="G228" i="5" l="1"/>
  <c r="E229" i="5"/>
  <c r="F229" i="5" s="1"/>
  <c r="E233" i="2"/>
  <c r="F232" i="2"/>
  <c r="D232" i="1"/>
  <c r="E232" i="1" s="1"/>
  <c r="F231" i="1"/>
  <c r="G229" i="5" l="1"/>
  <c r="E230" i="5"/>
  <c r="F230" i="5" s="1"/>
  <c r="F191" i="4"/>
  <c r="F233" i="2"/>
  <c r="E234" i="2"/>
  <c r="D233" i="1"/>
  <c r="E233" i="1" s="1"/>
  <c r="F232" i="1"/>
  <c r="G230" i="5" l="1"/>
  <c r="E231" i="5"/>
  <c r="F231" i="5" s="1"/>
  <c r="F192" i="4"/>
  <c r="F234" i="2"/>
  <c r="E235" i="2"/>
  <c r="D234" i="1"/>
  <c r="E234" i="1" s="1"/>
  <c r="F233" i="1"/>
  <c r="G231" i="5" l="1"/>
  <c r="E232" i="5"/>
  <c r="F232" i="5" s="1"/>
  <c r="F235" i="2"/>
  <c r="E236" i="2"/>
  <c r="D235" i="1"/>
  <c r="E235" i="1" s="1"/>
  <c r="F234" i="1"/>
  <c r="G232" i="5" l="1"/>
  <c r="E233" i="5"/>
  <c r="F233" i="5" s="1"/>
  <c r="F193" i="4"/>
  <c r="F236" i="2"/>
  <c r="E237" i="2"/>
  <c r="D236" i="1"/>
  <c r="E236" i="1" s="1"/>
  <c r="F235" i="1"/>
  <c r="G233" i="5" l="1"/>
  <c r="E234" i="5"/>
  <c r="F234" i="5" s="1"/>
  <c r="F194" i="4"/>
  <c r="F237" i="2"/>
  <c r="E238" i="2"/>
  <c r="D237" i="1"/>
  <c r="E237" i="1" s="1"/>
  <c r="F236" i="1"/>
  <c r="G234" i="5" l="1"/>
  <c r="E235" i="5"/>
  <c r="F235" i="5" s="1"/>
  <c r="F238" i="2"/>
  <c r="E239" i="2"/>
  <c r="D238" i="1"/>
  <c r="E238" i="1" s="1"/>
  <c r="F237" i="1"/>
  <c r="G235" i="5" l="1"/>
  <c r="E236" i="5"/>
  <c r="F236" i="5" s="1"/>
  <c r="F195" i="4"/>
  <c r="F239" i="2"/>
  <c r="E240" i="2"/>
  <c r="D239" i="1"/>
  <c r="E239" i="1" s="1"/>
  <c r="F238" i="1"/>
  <c r="G236" i="5" l="1"/>
  <c r="E237" i="5"/>
  <c r="F237" i="5" s="1"/>
  <c r="F196" i="4"/>
  <c r="F240" i="2"/>
  <c r="E241" i="2"/>
  <c r="D240" i="1"/>
  <c r="E240" i="1" s="1"/>
  <c r="F239" i="1"/>
  <c r="G237" i="5" l="1"/>
  <c r="E238" i="5"/>
  <c r="F238" i="5" s="1"/>
  <c r="F241" i="2"/>
  <c r="E242" i="2"/>
  <c r="D241" i="1"/>
  <c r="E241" i="1" s="1"/>
  <c r="F240" i="1"/>
  <c r="G238" i="5" l="1"/>
  <c r="E239" i="5"/>
  <c r="F239" i="5" s="1"/>
  <c r="F197" i="4"/>
  <c r="F242" i="2"/>
  <c r="E243" i="2"/>
  <c r="D242" i="1"/>
  <c r="E242" i="1" s="1"/>
  <c r="F241" i="1"/>
  <c r="G239" i="5" l="1"/>
  <c r="E240" i="5"/>
  <c r="F240" i="5" s="1"/>
  <c r="F198" i="4"/>
  <c r="F243" i="2"/>
  <c r="E244" i="2"/>
  <c r="D243" i="1"/>
  <c r="E243" i="1" s="1"/>
  <c r="F242" i="1"/>
  <c r="G240" i="5" l="1"/>
  <c r="E241" i="5"/>
  <c r="F241" i="5" s="1"/>
  <c r="F244" i="2"/>
  <c r="E245" i="2"/>
  <c r="D244" i="1"/>
  <c r="E244" i="1" s="1"/>
  <c r="F243" i="1"/>
  <c r="G241" i="5" l="1"/>
  <c r="E242" i="5"/>
  <c r="F242" i="5" s="1"/>
  <c r="F199" i="4"/>
  <c r="F245" i="2"/>
  <c r="E246" i="2"/>
  <c r="D245" i="1"/>
  <c r="E245" i="1" s="1"/>
  <c r="F244" i="1"/>
  <c r="G242" i="5" l="1"/>
  <c r="E243" i="5"/>
  <c r="F243" i="5" s="1"/>
  <c r="F200" i="4"/>
  <c r="F246" i="2"/>
  <c r="E247" i="2"/>
  <c r="D246" i="1"/>
  <c r="E246" i="1" s="1"/>
  <c r="F245" i="1"/>
  <c r="G243" i="5" l="1"/>
  <c r="E244" i="5"/>
  <c r="F244" i="5" s="1"/>
  <c r="F247" i="2"/>
  <c r="E248" i="2"/>
  <c r="D247" i="1"/>
  <c r="E247" i="1" s="1"/>
  <c r="F246" i="1"/>
  <c r="G244" i="5" l="1"/>
  <c r="E245" i="5"/>
  <c r="F245" i="5" s="1"/>
  <c r="F201" i="4"/>
  <c r="F248" i="2"/>
  <c r="E249" i="2"/>
  <c r="D248" i="1"/>
  <c r="E248" i="1" s="1"/>
  <c r="F247" i="1"/>
  <c r="G245" i="5" l="1"/>
  <c r="E246" i="5"/>
  <c r="F246" i="5" s="1"/>
  <c r="F202" i="4"/>
  <c r="F249" i="2"/>
  <c r="E250" i="2"/>
  <c r="D249" i="1"/>
  <c r="E249" i="1" s="1"/>
  <c r="F248" i="1"/>
  <c r="G246" i="5" l="1"/>
  <c r="E247" i="5"/>
  <c r="F247" i="5" s="1"/>
  <c r="F250" i="2"/>
  <c r="E251" i="2"/>
  <c r="D250" i="1"/>
  <c r="E250" i="1" s="1"/>
  <c r="F249" i="1"/>
  <c r="G247" i="5" l="1"/>
  <c r="E248" i="5"/>
  <c r="F248" i="5" s="1"/>
  <c r="F203" i="4"/>
  <c r="F251" i="2"/>
  <c r="E252" i="2"/>
  <c r="D251" i="1"/>
  <c r="E251" i="1" s="1"/>
  <c r="F250" i="1"/>
  <c r="G248" i="5" l="1"/>
  <c r="E249" i="5"/>
  <c r="F249" i="5" s="1"/>
  <c r="F204" i="4"/>
  <c r="E253" i="2"/>
  <c r="F252" i="2"/>
  <c r="D252" i="1"/>
  <c r="E252" i="1" s="1"/>
  <c r="F251" i="1"/>
  <c r="G249" i="5" l="1"/>
  <c r="E250" i="5"/>
  <c r="F250" i="5" s="1"/>
  <c r="F253" i="2"/>
  <c r="E254" i="2"/>
  <c r="D253" i="1"/>
  <c r="E253" i="1" s="1"/>
  <c r="F252" i="1"/>
  <c r="G250" i="5" l="1"/>
  <c r="E251" i="5"/>
  <c r="F251" i="5" s="1"/>
  <c r="F205" i="4"/>
  <c r="F254" i="2"/>
  <c r="E255" i="2"/>
  <c r="D254" i="1"/>
  <c r="E254" i="1" s="1"/>
  <c r="F253" i="1"/>
  <c r="G251" i="5" l="1"/>
  <c r="E252" i="5"/>
  <c r="F252" i="5" s="1"/>
  <c r="F206" i="4"/>
  <c r="F255" i="2"/>
  <c r="E256" i="2"/>
  <c r="D255" i="1"/>
  <c r="E255" i="1" s="1"/>
  <c r="F254" i="1"/>
  <c r="G252" i="5" l="1"/>
  <c r="E253" i="5"/>
  <c r="F253" i="5" s="1"/>
  <c r="F256" i="2"/>
  <c r="E257" i="2"/>
  <c r="D256" i="1"/>
  <c r="E256" i="1" s="1"/>
  <c r="F255" i="1"/>
  <c r="G253" i="5" l="1"/>
  <c r="E254" i="5"/>
  <c r="F254" i="5" s="1"/>
  <c r="F207" i="4"/>
  <c r="F257" i="2"/>
  <c r="E258" i="2"/>
  <c r="D257" i="1"/>
  <c r="E257" i="1" s="1"/>
  <c r="F256" i="1"/>
  <c r="G254" i="5" l="1"/>
  <c r="E255" i="5"/>
  <c r="F255" i="5" s="1"/>
  <c r="F208" i="4"/>
  <c r="F258" i="2"/>
  <c r="E259" i="2"/>
  <c r="D258" i="1"/>
  <c r="E258" i="1" s="1"/>
  <c r="F257" i="1"/>
  <c r="G255" i="5" l="1"/>
  <c r="E256" i="5"/>
  <c r="F256" i="5" s="1"/>
  <c r="F259" i="2"/>
  <c r="E260" i="2"/>
  <c r="D259" i="1"/>
  <c r="E259" i="1" s="1"/>
  <c r="F258" i="1"/>
  <c r="G256" i="5" l="1"/>
  <c r="E257" i="5"/>
  <c r="F257" i="5" s="1"/>
  <c r="F209" i="4"/>
  <c r="F260" i="2"/>
  <c r="E261" i="2"/>
  <c r="D260" i="1"/>
  <c r="E260" i="1" s="1"/>
  <c r="F259" i="1"/>
  <c r="G257" i="5" l="1"/>
  <c r="E258" i="5"/>
  <c r="F258" i="5" s="1"/>
  <c r="F210" i="4"/>
  <c r="F261" i="2"/>
  <c r="E262" i="2"/>
  <c r="D261" i="1"/>
  <c r="E261" i="1" s="1"/>
  <c r="F260" i="1"/>
  <c r="G258" i="5" l="1"/>
  <c r="E259" i="5"/>
  <c r="F259" i="5" s="1"/>
  <c r="F262" i="2"/>
  <c r="E263" i="2"/>
  <c r="D262" i="1"/>
  <c r="E262" i="1" s="1"/>
  <c r="F261" i="1"/>
  <c r="G259" i="5" l="1"/>
  <c r="E260" i="5"/>
  <c r="F260" i="5" s="1"/>
  <c r="F211" i="4"/>
  <c r="F263" i="2"/>
  <c r="E264" i="2"/>
  <c r="D263" i="1"/>
  <c r="E263" i="1" s="1"/>
  <c r="F262" i="1"/>
  <c r="G260" i="5" l="1"/>
  <c r="E261" i="5"/>
  <c r="F261" i="5" s="1"/>
  <c r="F212" i="4"/>
  <c r="F264" i="2"/>
  <c r="E265" i="2"/>
  <c r="D264" i="1"/>
  <c r="E264" i="1" s="1"/>
  <c r="F263" i="1"/>
  <c r="G261" i="5" l="1"/>
  <c r="E262" i="5"/>
  <c r="F262" i="5" s="1"/>
  <c r="F265" i="2"/>
  <c r="E266" i="2"/>
  <c r="D265" i="1"/>
  <c r="E265" i="1" s="1"/>
  <c r="F264" i="1"/>
  <c r="G262" i="5" l="1"/>
  <c r="E263" i="5"/>
  <c r="F263" i="5" s="1"/>
  <c r="F213" i="4"/>
  <c r="F266" i="2"/>
  <c r="E267" i="2"/>
  <c r="D266" i="1"/>
  <c r="E266" i="1" s="1"/>
  <c r="F265" i="1"/>
  <c r="G263" i="5" l="1"/>
  <c r="E264" i="5"/>
  <c r="F264" i="5" s="1"/>
  <c r="F214" i="4"/>
  <c r="F267" i="2"/>
  <c r="E268" i="2"/>
  <c r="D267" i="1"/>
  <c r="E267" i="1" s="1"/>
  <c r="F266" i="1"/>
  <c r="G264" i="5" l="1"/>
  <c r="E265" i="5"/>
  <c r="F265" i="5" s="1"/>
  <c r="F268" i="2"/>
  <c r="E269" i="2"/>
  <c r="D268" i="1"/>
  <c r="E268" i="1" s="1"/>
  <c r="F267" i="1"/>
  <c r="G265" i="5" l="1"/>
  <c r="E266" i="5"/>
  <c r="F266" i="5" s="1"/>
  <c r="F215" i="4"/>
  <c r="E270" i="2"/>
  <c r="F269" i="2"/>
  <c r="D269" i="1"/>
  <c r="E269" i="1" s="1"/>
  <c r="F268" i="1"/>
  <c r="G266" i="5" l="1"/>
  <c r="E267" i="5"/>
  <c r="F267" i="5" s="1"/>
  <c r="F216" i="4"/>
  <c r="F270" i="2"/>
  <c r="E271" i="2"/>
  <c r="D270" i="1"/>
  <c r="E270" i="1" s="1"/>
  <c r="F269" i="1"/>
  <c r="G267" i="5" l="1"/>
  <c r="E268" i="5"/>
  <c r="F268" i="5" s="1"/>
  <c r="F271" i="2"/>
  <c r="E272" i="2"/>
  <c r="D271" i="1"/>
  <c r="E271" i="1" s="1"/>
  <c r="F270" i="1"/>
  <c r="G268" i="5" l="1"/>
  <c r="E269" i="5"/>
  <c r="F269" i="5" s="1"/>
  <c r="F217" i="4"/>
  <c r="F272" i="2"/>
  <c r="E273" i="2"/>
  <c r="D272" i="1"/>
  <c r="E272" i="1" s="1"/>
  <c r="F271" i="1"/>
  <c r="G269" i="5" l="1"/>
  <c r="E270" i="5"/>
  <c r="F270" i="5" s="1"/>
  <c r="F218" i="4"/>
  <c r="E274" i="2"/>
  <c r="F273" i="2"/>
  <c r="D273" i="1"/>
  <c r="E273" i="1" s="1"/>
  <c r="F272" i="1"/>
  <c r="G270" i="5" l="1"/>
  <c r="E271" i="5"/>
  <c r="F271" i="5" s="1"/>
  <c r="F274" i="2"/>
  <c r="E275" i="2"/>
  <c r="D274" i="1"/>
  <c r="E274" i="1" s="1"/>
  <c r="F273" i="1"/>
  <c r="G271" i="5" l="1"/>
  <c r="E272" i="5"/>
  <c r="F272" i="5" s="1"/>
  <c r="F219" i="4"/>
  <c r="F275" i="2"/>
  <c r="E276" i="2"/>
  <c r="D275" i="1"/>
  <c r="E275" i="1" s="1"/>
  <c r="F274" i="1"/>
  <c r="G272" i="5" l="1"/>
  <c r="E273" i="5"/>
  <c r="F273" i="5" s="1"/>
  <c r="F220" i="4"/>
  <c r="F276" i="2"/>
  <c r="E277" i="2"/>
  <c r="D276" i="1"/>
  <c r="E276" i="1" s="1"/>
  <c r="F275" i="1"/>
  <c r="G273" i="5" l="1"/>
  <c r="E274" i="5"/>
  <c r="F274" i="5" s="1"/>
  <c r="F277" i="2"/>
  <c r="E278" i="2"/>
  <c r="D277" i="1"/>
  <c r="E277" i="1" s="1"/>
  <c r="F276" i="1"/>
  <c r="G274" i="5" l="1"/>
  <c r="E275" i="5"/>
  <c r="F275" i="5" s="1"/>
  <c r="F221" i="4"/>
  <c r="F278" i="2"/>
  <c r="E279" i="2"/>
  <c r="D278" i="1"/>
  <c r="E278" i="1" s="1"/>
  <c r="F277" i="1"/>
  <c r="G275" i="5" l="1"/>
  <c r="E276" i="5"/>
  <c r="F276" i="5" s="1"/>
  <c r="F222" i="4"/>
  <c r="F279" i="2"/>
  <c r="E280" i="2"/>
  <c r="D279" i="1"/>
  <c r="E279" i="1" s="1"/>
  <c r="F278" i="1"/>
  <c r="G276" i="5" l="1"/>
  <c r="E277" i="5"/>
  <c r="F277" i="5" s="1"/>
  <c r="F280" i="2"/>
  <c r="E281" i="2"/>
  <c r="D280" i="1"/>
  <c r="E280" i="1" s="1"/>
  <c r="F279" i="1"/>
  <c r="G277" i="5" l="1"/>
  <c r="E278" i="5"/>
  <c r="F278" i="5" s="1"/>
  <c r="F223" i="4"/>
  <c r="F281" i="2"/>
  <c r="E282" i="2"/>
  <c r="D281" i="1"/>
  <c r="E281" i="1" s="1"/>
  <c r="F280" i="1"/>
  <c r="G278" i="5" l="1"/>
  <c r="E279" i="5"/>
  <c r="F279" i="5" s="1"/>
  <c r="F224" i="4"/>
  <c r="F282" i="2"/>
  <c r="E283" i="2"/>
  <c r="D282" i="1"/>
  <c r="E282" i="1" s="1"/>
  <c r="F281" i="1"/>
  <c r="G279" i="5" l="1"/>
  <c r="E280" i="5"/>
  <c r="F280" i="5" s="1"/>
  <c r="F283" i="2"/>
  <c r="E284" i="2"/>
  <c r="D283" i="1"/>
  <c r="E283" i="1" s="1"/>
  <c r="F282" i="1"/>
  <c r="G280" i="5" l="1"/>
  <c r="E281" i="5"/>
  <c r="F281" i="5" s="1"/>
  <c r="F225" i="4"/>
  <c r="E285" i="2"/>
  <c r="F284" i="2"/>
  <c r="D284" i="1"/>
  <c r="E284" i="1" s="1"/>
  <c r="F283" i="1"/>
  <c r="G281" i="5" l="1"/>
  <c r="E282" i="5"/>
  <c r="F282" i="5" s="1"/>
  <c r="F226" i="4"/>
  <c r="E286" i="2"/>
  <c r="F285" i="2"/>
  <c r="D285" i="1"/>
  <c r="E285" i="1" s="1"/>
  <c r="F284" i="1"/>
  <c r="G282" i="5" l="1"/>
  <c r="E283" i="5"/>
  <c r="F283" i="5" s="1"/>
  <c r="F286" i="2"/>
  <c r="E287" i="2"/>
  <c r="D286" i="1"/>
  <c r="E286" i="1" s="1"/>
  <c r="F285" i="1"/>
  <c r="G283" i="5" l="1"/>
  <c r="E284" i="5"/>
  <c r="F284" i="5" s="1"/>
  <c r="F227" i="4"/>
  <c r="F287" i="2"/>
  <c r="E288" i="2"/>
  <c r="D287" i="1"/>
  <c r="E287" i="1" s="1"/>
  <c r="F286" i="1"/>
  <c r="G284" i="5" l="1"/>
  <c r="E285" i="5"/>
  <c r="F285" i="5" s="1"/>
  <c r="F228" i="4"/>
  <c r="E289" i="2"/>
  <c r="F288" i="2"/>
  <c r="D288" i="1"/>
  <c r="E288" i="1" s="1"/>
  <c r="F287" i="1"/>
  <c r="G285" i="5" l="1"/>
  <c r="E286" i="5"/>
  <c r="F286" i="5" s="1"/>
  <c r="F289" i="2"/>
  <c r="E290" i="2"/>
  <c r="D289" i="1"/>
  <c r="E289" i="1" s="1"/>
  <c r="F288" i="1"/>
  <c r="G286" i="5" l="1"/>
  <c r="E287" i="5"/>
  <c r="F287" i="5" s="1"/>
  <c r="F229" i="4"/>
  <c r="F290" i="2"/>
  <c r="E291" i="2"/>
  <c r="D290" i="1"/>
  <c r="E290" i="1" s="1"/>
  <c r="F289" i="1"/>
  <c r="G287" i="5" l="1"/>
  <c r="E288" i="5"/>
  <c r="F288" i="5" s="1"/>
  <c r="F230" i="4"/>
  <c r="F291" i="2"/>
  <c r="E292" i="2"/>
  <c r="D291" i="1"/>
  <c r="E291" i="1" s="1"/>
  <c r="F290" i="1"/>
  <c r="G288" i="5" l="1"/>
  <c r="E289" i="5"/>
  <c r="F289" i="5" s="1"/>
  <c r="F292" i="2"/>
  <c r="E293" i="2"/>
  <c r="D292" i="1"/>
  <c r="E292" i="1" s="1"/>
  <c r="F291" i="1"/>
  <c r="G289" i="5" l="1"/>
  <c r="E290" i="5"/>
  <c r="F290" i="5" s="1"/>
  <c r="F231" i="4"/>
  <c r="F293" i="2"/>
  <c r="E294" i="2"/>
  <c r="D293" i="1"/>
  <c r="E293" i="1" s="1"/>
  <c r="F292" i="1"/>
  <c r="G290" i="5" l="1"/>
  <c r="E291" i="5"/>
  <c r="F291" i="5" s="1"/>
  <c r="F232" i="4"/>
  <c r="E295" i="2"/>
  <c r="F294" i="2"/>
  <c r="D294" i="1"/>
  <c r="E294" i="1" s="1"/>
  <c r="F293" i="1"/>
  <c r="G291" i="5" l="1"/>
  <c r="E292" i="5"/>
  <c r="F292" i="5" s="1"/>
  <c r="F295" i="2"/>
  <c r="E296" i="2"/>
  <c r="D295" i="1"/>
  <c r="E295" i="1" s="1"/>
  <c r="F294" i="1"/>
  <c r="G292" i="5" l="1"/>
  <c r="E293" i="5"/>
  <c r="F293" i="5" s="1"/>
  <c r="F233" i="4"/>
  <c r="F296" i="2"/>
  <c r="E297" i="2"/>
  <c r="D296" i="1"/>
  <c r="E296" i="1" s="1"/>
  <c r="F295" i="1"/>
  <c r="G293" i="5" l="1"/>
  <c r="E294" i="5"/>
  <c r="F294" i="5" s="1"/>
  <c r="F234" i="4"/>
  <c r="F297" i="2"/>
  <c r="E298" i="2"/>
  <c r="D297" i="1"/>
  <c r="E297" i="1" s="1"/>
  <c r="F296" i="1"/>
  <c r="G294" i="5" l="1"/>
  <c r="E295" i="5"/>
  <c r="F295" i="5" s="1"/>
  <c r="F298" i="2"/>
  <c r="E299" i="2"/>
  <c r="D298" i="1"/>
  <c r="E298" i="1" s="1"/>
  <c r="F297" i="1"/>
  <c r="G295" i="5" l="1"/>
  <c r="E296" i="5"/>
  <c r="F296" i="5" s="1"/>
  <c r="F235" i="4"/>
  <c r="F299" i="2"/>
  <c r="E300" i="2"/>
  <c r="D299" i="1"/>
  <c r="E299" i="1" s="1"/>
  <c r="F298" i="1"/>
  <c r="G296" i="5" l="1"/>
  <c r="E297" i="5"/>
  <c r="F297" i="5" s="1"/>
  <c r="F236" i="4"/>
  <c r="F300" i="2"/>
  <c r="E301" i="2"/>
  <c r="D300" i="1"/>
  <c r="E300" i="1" s="1"/>
  <c r="F299" i="1"/>
  <c r="G297" i="5" l="1"/>
  <c r="E298" i="5"/>
  <c r="F298" i="5" s="1"/>
  <c r="F301" i="2"/>
  <c r="E302" i="2"/>
  <c r="D301" i="1"/>
  <c r="E301" i="1" s="1"/>
  <c r="F300" i="1"/>
  <c r="G298" i="5" l="1"/>
  <c r="E299" i="5"/>
  <c r="F299" i="5" s="1"/>
  <c r="F237" i="4"/>
  <c r="F302" i="2"/>
  <c r="E303" i="2"/>
  <c r="D302" i="1"/>
  <c r="E302" i="1" s="1"/>
  <c r="F301" i="1"/>
  <c r="G299" i="5" l="1"/>
  <c r="E300" i="5"/>
  <c r="F300" i="5" s="1"/>
  <c r="F238" i="4"/>
  <c r="F303" i="2"/>
  <c r="E304" i="2"/>
  <c r="D303" i="1"/>
  <c r="E303" i="1" s="1"/>
  <c r="F302" i="1"/>
  <c r="G300" i="5" l="1"/>
  <c r="E301" i="5"/>
  <c r="F301" i="5" s="1"/>
  <c r="F304" i="2"/>
  <c r="E305" i="2"/>
  <c r="D304" i="1"/>
  <c r="E304" i="1" s="1"/>
  <c r="F303" i="1"/>
  <c r="G301" i="5" l="1"/>
  <c r="E302" i="5"/>
  <c r="F302" i="5" s="1"/>
  <c r="F239" i="4"/>
  <c r="F305" i="2"/>
  <c r="E306" i="2"/>
  <c r="D305" i="1"/>
  <c r="E305" i="1" s="1"/>
  <c r="F304" i="1"/>
  <c r="G302" i="5" l="1"/>
  <c r="E303" i="5"/>
  <c r="F303" i="5" s="1"/>
  <c r="F240" i="4"/>
  <c r="F306" i="2"/>
  <c r="E307" i="2"/>
  <c r="D306" i="1"/>
  <c r="E306" i="1" s="1"/>
  <c r="F305" i="1"/>
  <c r="G303" i="5" l="1"/>
  <c r="E304" i="5"/>
  <c r="F304" i="5" s="1"/>
  <c r="F307" i="2"/>
  <c r="E308" i="2"/>
  <c r="D307" i="1"/>
  <c r="E307" i="1" s="1"/>
  <c r="F306" i="1"/>
  <c r="G304" i="5" l="1"/>
  <c r="E305" i="5"/>
  <c r="F305" i="5" s="1"/>
  <c r="F241" i="4"/>
  <c r="F308" i="2"/>
  <c r="E309" i="2"/>
  <c r="D308" i="1"/>
  <c r="E308" i="1" s="1"/>
  <c r="F307" i="1"/>
  <c r="G305" i="5" l="1"/>
  <c r="E306" i="5"/>
  <c r="F306" i="5" s="1"/>
  <c r="F242" i="4"/>
  <c r="E310" i="2"/>
  <c r="F309" i="2"/>
  <c r="D309" i="1"/>
  <c r="E309" i="1" s="1"/>
  <c r="F308" i="1"/>
  <c r="G306" i="5" l="1"/>
  <c r="E307" i="5"/>
  <c r="F307" i="5" s="1"/>
  <c r="F310" i="2"/>
  <c r="E311" i="2"/>
  <c r="D310" i="1"/>
  <c r="E310" i="1" s="1"/>
  <c r="F309" i="1"/>
  <c r="G307" i="5" l="1"/>
  <c r="E308" i="5"/>
  <c r="F308" i="5" s="1"/>
  <c r="F243" i="4"/>
  <c r="F311" i="2"/>
  <c r="E312" i="2"/>
  <c r="D311" i="1"/>
  <c r="E311" i="1" s="1"/>
  <c r="F310" i="1"/>
  <c r="G308" i="5" l="1"/>
  <c r="E309" i="5"/>
  <c r="F309" i="5" s="1"/>
  <c r="F244" i="4"/>
  <c r="E313" i="2"/>
  <c r="F312" i="2"/>
  <c r="D312" i="1"/>
  <c r="E312" i="1" s="1"/>
  <c r="F311" i="1"/>
  <c r="G309" i="5" l="1"/>
  <c r="E310" i="5"/>
  <c r="F310" i="5" s="1"/>
  <c r="F313" i="2"/>
  <c r="E314" i="2"/>
  <c r="D313" i="1"/>
  <c r="E313" i="1" s="1"/>
  <c r="F312" i="1"/>
  <c r="G310" i="5" l="1"/>
  <c r="E311" i="5"/>
  <c r="F311" i="5" s="1"/>
  <c r="F245" i="4"/>
  <c r="F314" i="2"/>
  <c r="E315" i="2"/>
  <c r="D314" i="1"/>
  <c r="E314" i="1" s="1"/>
  <c r="F313" i="1"/>
  <c r="G311" i="5" l="1"/>
  <c r="E312" i="5"/>
  <c r="F312" i="5" s="1"/>
  <c r="F246" i="4"/>
  <c r="F315" i="2"/>
  <c r="E316" i="2"/>
  <c r="D315" i="1"/>
  <c r="E315" i="1" s="1"/>
  <c r="F314" i="1"/>
  <c r="G312" i="5" l="1"/>
  <c r="E313" i="5"/>
  <c r="F313" i="5" s="1"/>
  <c r="F316" i="2"/>
  <c r="E317" i="2"/>
  <c r="D316" i="1"/>
  <c r="E316" i="1" s="1"/>
  <c r="F315" i="1"/>
  <c r="G313" i="5" l="1"/>
  <c r="E314" i="5"/>
  <c r="F314" i="5" s="1"/>
  <c r="F247" i="4"/>
  <c r="E318" i="2"/>
  <c r="F317" i="2"/>
  <c r="D317" i="1"/>
  <c r="E317" i="1" s="1"/>
  <c r="F316" i="1"/>
  <c r="G314" i="5" l="1"/>
  <c r="E315" i="5"/>
  <c r="F315" i="5" s="1"/>
  <c r="F248" i="4"/>
  <c r="F318" i="2"/>
  <c r="E319" i="2"/>
  <c r="D318" i="1"/>
  <c r="E318" i="1" s="1"/>
  <c r="F317" i="1"/>
  <c r="G315" i="5" l="1"/>
  <c r="E316" i="5"/>
  <c r="F316" i="5" s="1"/>
  <c r="F319" i="2"/>
  <c r="E320" i="2"/>
  <c r="D319" i="1"/>
  <c r="E319" i="1" s="1"/>
  <c r="F318" i="1"/>
  <c r="G316" i="5" l="1"/>
  <c r="E317" i="5"/>
  <c r="F317" i="5" s="1"/>
  <c r="F249" i="4"/>
  <c r="F320" i="2"/>
  <c r="E321" i="2"/>
  <c r="D320" i="1"/>
  <c r="E320" i="1" s="1"/>
  <c r="F319" i="1"/>
  <c r="G317" i="5" l="1"/>
  <c r="E318" i="5"/>
  <c r="F318" i="5" s="1"/>
  <c r="F250" i="4"/>
  <c r="E322" i="2"/>
  <c r="F321" i="2"/>
  <c r="D321" i="1"/>
  <c r="E321" i="1" s="1"/>
  <c r="F320" i="1"/>
  <c r="G318" i="5" l="1"/>
  <c r="E319" i="5"/>
  <c r="F319" i="5" s="1"/>
  <c r="F322" i="2"/>
  <c r="E323" i="2"/>
  <c r="D322" i="1"/>
  <c r="E322" i="1" s="1"/>
  <c r="F321" i="1"/>
  <c r="G319" i="5" l="1"/>
  <c r="E320" i="5"/>
  <c r="F320" i="5" s="1"/>
  <c r="F251" i="4"/>
  <c r="F323" i="2"/>
  <c r="E324" i="2"/>
  <c r="D323" i="1"/>
  <c r="E323" i="1" s="1"/>
  <c r="F322" i="1"/>
  <c r="G320" i="5" l="1"/>
  <c r="E321" i="5"/>
  <c r="F321" i="5" s="1"/>
  <c r="F252" i="4"/>
  <c r="F324" i="2"/>
  <c r="E325" i="2"/>
  <c r="D324" i="1"/>
  <c r="E324" i="1" s="1"/>
  <c r="F323" i="1"/>
  <c r="G321" i="5" l="1"/>
  <c r="E322" i="5"/>
  <c r="F322" i="5" s="1"/>
  <c r="F325" i="2"/>
  <c r="E326" i="2"/>
  <c r="D325" i="1"/>
  <c r="E325" i="1" s="1"/>
  <c r="F324" i="1"/>
  <c r="G322" i="5" l="1"/>
  <c r="E323" i="5"/>
  <c r="F323" i="5" s="1"/>
  <c r="F253" i="4"/>
  <c r="F326" i="2"/>
  <c r="E327" i="2"/>
  <c r="D326" i="1"/>
  <c r="E326" i="1" s="1"/>
  <c r="F325" i="1"/>
  <c r="G323" i="5" l="1"/>
  <c r="E324" i="5"/>
  <c r="F324" i="5" s="1"/>
  <c r="F254" i="4"/>
  <c r="F327" i="2"/>
  <c r="E328" i="2"/>
  <c r="D327" i="1"/>
  <c r="E327" i="1" s="1"/>
  <c r="F326" i="1"/>
  <c r="G324" i="5" l="1"/>
  <c r="E325" i="5"/>
  <c r="F325" i="5" s="1"/>
  <c r="E329" i="2"/>
  <c r="F328" i="2"/>
  <c r="D328" i="1"/>
  <c r="E328" i="1" s="1"/>
  <c r="F327" i="1"/>
  <c r="G325" i="5" l="1"/>
  <c r="E326" i="5"/>
  <c r="F326" i="5" s="1"/>
  <c r="F255" i="4"/>
  <c r="F329" i="2"/>
  <c r="E330" i="2"/>
  <c r="D329" i="1"/>
  <c r="E329" i="1" s="1"/>
  <c r="F328" i="1"/>
  <c r="G326" i="5" l="1"/>
  <c r="E327" i="5"/>
  <c r="F327" i="5" s="1"/>
  <c r="F256" i="4"/>
  <c r="F330" i="2"/>
  <c r="E331" i="2"/>
  <c r="D330" i="1"/>
  <c r="E330" i="1" s="1"/>
  <c r="F329" i="1"/>
  <c r="G327" i="5" l="1"/>
  <c r="E328" i="5"/>
  <c r="F328" i="5" s="1"/>
  <c r="F331" i="2"/>
  <c r="E332" i="2"/>
  <c r="D331" i="1"/>
  <c r="E331" i="1" s="1"/>
  <c r="F330" i="1"/>
  <c r="G328" i="5" l="1"/>
  <c r="E329" i="5"/>
  <c r="F329" i="5" s="1"/>
  <c r="F257" i="4"/>
  <c r="F332" i="2"/>
  <c r="E333" i="2"/>
  <c r="D332" i="1"/>
  <c r="E332" i="1" s="1"/>
  <c r="F331" i="1"/>
  <c r="G329" i="5" l="1"/>
  <c r="E330" i="5"/>
  <c r="F330" i="5" s="1"/>
  <c r="F258" i="4"/>
  <c r="E334" i="2"/>
  <c r="F333" i="2"/>
  <c r="D333" i="1"/>
  <c r="E333" i="1" s="1"/>
  <c r="F332" i="1"/>
  <c r="G330" i="5" l="1"/>
  <c r="E331" i="5"/>
  <c r="F331" i="5" s="1"/>
  <c r="E335" i="2"/>
  <c r="F334" i="2"/>
  <c r="D334" i="1"/>
  <c r="E334" i="1" s="1"/>
  <c r="F333" i="1"/>
  <c r="G331" i="5" l="1"/>
  <c r="E332" i="5"/>
  <c r="F332" i="5" s="1"/>
  <c r="F259" i="4"/>
  <c r="F335" i="2"/>
  <c r="E336" i="2"/>
  <c r="D335" i="1"/>
  <c r="E335" i="1" s="1"/>
  <c r="F334" i="1"/>
  <c r="G332" i="5" l="1"/>
  <c r="E333" i="5"/>
  <c r="F333" i="5" s="1"/>
  <c r="F260" i="4"/>
  <c r="E337" i="2"/>
  <c r="F336" i="2"/>
  <c r="D336" i="1"/>
  <c r="E336" i="1" s="1"/>
  <c r="F335" i="1"/>
  <c r="G333" i="5" l="1"/>
  <c r="E334" i="5"/>
  <c r="F334" i="5" s="1"/>
  <c r="F337" i="2"/>
  <c r="E338" i="2"/>
  <c r="D337" i="1"/>
  <c r="E337" i="1" s="1"/>
  <c r="F336" i="1"/>
  <c r="G334" i="5" l="1"/>
  <c r="E335" i="5"/>
  <c r="F335" i="5" s="1"/>
  <c r="F261" i="4"/>
  <c r="F338" i="2"/>
  <c r="E339" i="2"/>
  <c r="D338" i="1"/>
  <c r="E338" i="1" s="1"/>
  <c r="F337" i="1"/>
  <c r="G335" i="5" l="1"/>
  <c r="E336" i="5"/>
  <c r="F336" i="5" s="1"/>
  <c r="F262" i="4"/>
  <c r="F339" i="2"/>
  <c r="E340" i="2"/>
  <c r="D339" i="1"/>
  <c r="E339" i="1" s="1"/>
  <c r="F338" i="1"/>
  <c r="G336" i="5" l="1"/>
  <c r="E337" i="5"/>
  <c r="F337" i="5" s="1"/>
  <c r="E341" i="2"/>
  <c r="F340" i="2"/>
  <c r="D340" i="1"/>
  <c r="E340" i="1" s="1"/>
  <c r="F339" i="1"/>
  <c r="G337" i="5" l="1"/>
  <c r="E338" i="5"/>
  <c r="F338" i="5" s="1"/>
  <c r="F263" i="4"/>
  <c r="E342" i="2"/>
  <c r="F341" i="2"/>
  <c r="D341" i="1"/>
  <c r="E341" i="1" s="1"/>
  <c r="F340" i="1"/>
  <c r="G338" i="5" l="1"/>
  <c r="E339" i="5"/>
  <c r="F339" i="5" s="1"/>
  <c r="F264" i="4"/>
  <c r="E343" i="2"/>
  <c r="F342" i="2"/>
  <c r="D342" i="1"/>
  <c r="E342" i="1" s="1"/>
  <c r="F341" i="1"/>
  <c r="G339" i="5" l="1"/>
  <c r="E340" i="5"/>
  <c r="F340" i="5" s="1"/>
  <c r="F343" i="2"/>
  <c r="E344" i="2"/>
  <c r="D343" i="1"/>
  <c r="E343" i="1" s="1"/>
  <c r="F342" i="1"/>
  <c r="G340" i="5" l="1"/>
  <c r="E341" i="5"/>
  <c r="F341" i="5" s="1"/>
  <c r="F265" i="4"/>
  <c r="F344" i="2"/>
  <c r="E345" i="2"/>
  <c r="D344" i="1"/>
  <c r="E344" i="1" s="1"/>
  <c r="F343" i="1"/>
  <c r="G341" i="5" l="1"/>
  <c r="E342" i="5"/>
  <c r="F342" i="5" s="1"/>
  <c r="F266" i="4"/>
  <c r="E346" i="2"/>
  <c r="F345" i="2"/>
  <c r="D345" i="1"/>
  <c r="E345" i="1" s="1"/>
  <c r="F344" i="1"/>
  <c r="G342" i="5" l="1"/>
  <c r="E343" i="5"/>
  <c r="F343" i="5" s="1"/>
  <c r="E347" i="2"/>
  <c r="F346" i="2"/>
  <c r="D346" i="1"/>
  <c r="E346" i="1" s="1"/>
  <c r="F345" i="1"/>
  <c r="G343" i="5" l="1"/>
  <c r="E344" i="5"/>
  <c r="F344" i="5" s="1"/>
  <c r="F267" i="4"/>
  <c r="F347" i="2"/>
  <c r="E348" i="2"/>
  <c r="D347" i="1"/>
  <c r="E347" i="1" s="1"/>
  <c r="F346" i="1"/>
  <c r="G344" i="5" l="1"/>
  <c r="E345" i="5"/>
  <c r="F345" i="5" s="1"/>
  <c r="F268" i="4"/>
  <c r="F348" i="2"/>
  <c r="E349" i="2"/>
  <c r="D348" i="1"/>
  <c r="E348" i="1" s="1"/>
  <c r="F347" i="1"/>
  <c r="G345" i="5" l="1"/>
  <c r="E346" i="5"/>
  <c r="F346" i="5" s="1"/>
  <c r="E350" i="2"/>
  <c r="F349" i="2"/>
  <c r="D349" i="1"/>
  <c r="E349" i="1" s="1"/>
  <c r="F348" i="1"/>
  <c r="G346" i="5" l="1"/>
  <c r="E347" i="5"/>
  <c r="F347" i="5" s="1"/>
  <c r="F269" i="4"/>
  <c r="E351" i="2"/>
  <c r="F350" i="2"/>
  <c r="D350" i="1"/>
  <c r="E350" i="1" s="1"/>
  <c r="F349" i="1"/>
  <c r="G347" i="5" l="1"/>
  <c r="E348" i="5"/>
  <c r="F348" i="5" s="1"/>
  <c r="F270" i="4"/>
  <c r="F351" i="2"/>
  <c r="E352" i="2"/>
  <c r="D351" i="1"/>
  <c r="E351" i="1" s="1"/>
  <c r="F350" i="1"/>
  <c r="G348" i="5" l="1"/>
  <c r="E349" i="5"/>
  <c r="F349" i="5" s="1"/>
  <c r="F352" i="2"/>
  <c r="E353" i="2"/>
  <c r="D352" i="1"/>
  <c r="E352" i="1" s="1"/>
  <c r="F351" i="1"/>
  <c r="G349" i="5" l="1"/>
  <c r="E350" i="5"/>
  <c r="F350" i="5" s="1"/>
  <c r="F271" i="4"/>
  <c r="F353" i="2"/>
  <c r="E354" i="2"/>
  <c r="D353" i="1"/>
  <c r="E353" i="1" s="1"/>
  <c r="F352" i="1"/>
  <c r="G350" i="5" l="1"/>
  <c r="E351" i="5"/>
  <c r="F351" i="5" s="1"/>
  <c r="F272" i="4"/>
  <c r="E355" i="2"/>
  <c r="F354" i="2"/>
  <c r="D354" i="1"/>
  <c r="E354" i="1" s="1"/>
  <c r="F353" i="1"/>
  <c r="G351" i="5" l="1"/>
  <c r="E352" i="5"/>
  <c r="F352" i="5" s="1"/>
  <c r="F355" i="2"/>
  <c r="E356" i="2"/>
  <c r="D355" i="1"/>
  <c r="E355" i="1" s="1"/>
  <c r="F354" i="1"/>
  <c r="G352" i="5" l="1"/>
  <c r="E353" i="5"/>
  <c r="F353" i="5" s="1"/>
  <c r="F273" i="4"/>
  <c r="F356" i="2"/>
  <c r="E357" i="2"/>
  <c r="D356" i="1"/>
  <c r="E356" i="1" s="1"/>
  <c r="F355" i="1"/>
  <c r="G353" i="5" l="1"/>
  <c r="E354" i="5"/>
  <c r="F354" i="5" s="1"/>
  <c r="F274" i="4"/>
  <c r="E358" i="2"/>
  <c r="F357" i="2"/>
  <c r="D357" i="1"/>
  <c r="E357" i="1" s="1"/>
  <c r="F356" i="1"/>
  <c r="G354" i="5" l="1"/>
  <c r="E355" i="5"/>
  <c r="F355" i="5" s="1"/>
  <c r="E359" i="2"/>
  <c r="F358" i="2"/>
  <c r="D358" i="1"/>
  <c r="E358" i="1" s="1"/>
  <c r="F357" i="1"/>
  <c r="G355" i="5" l="1"/>
  <c r="E356" i="5"/>
  <c r="F356" i="5" s="1"/>
  <c r="F275" i="4"/>
  <c r="F359" i="2"/>
  <c r="E360" i="2"/>
  <c r="D359" i="1"/>
  <c r="E359" i="1" s="1"/>
  <c r="F358" i="1"/>
  <c r="G356" i="5" l="1"/>
  <c r="E357" i="5"/>
  <c r="F357" i="5" s="1"/>
  <c r="F276" i="4"/>
  <c r="F360" i="2"/>
  <c r="E361" i="2"/>
  <c r="D360" i="1"/>
  <c r="E360" i="1" s="1"/>
  <c r="F359" i="1"/>
  <c r="G357" i="5" l="1"/>
  <c r="E358" i="5"/>
  <c r="F358" i="5" s="1"/>
  <c r="E362" i="2"/>
  <c r="F361" i="2"/>
  <c r="D361" i="1"/>
  <c r="E361" i="1" s="1"/>
  <c r="F360" i="1"/>
  <c r="G358" i="5" l="1"/>
  <c r="E359" i="5"/>
  <c r="F359" i="5" s="1"/>
  <c r="F277" i="4"/>
  <c r="F362" i="2"/>
  <c r="E363" i="2"/>
  <c r="D362" i="1"/>
  <c r="E362" i="1" s="1"/>
  <c r="F361" i="1"/>
  <c r="G359" i="5" l="1"/>
  <c r="E360" i="5"/>
  <c r="F360" i="5" s="1"/>
  <c r="F278" i="4"/>
  <c r="F363" i="2"/>
  <c r="E364" i="2"/>
  <c r="D363" i="1"/>
  <c r="E363" i="1" s="1"/>
  <c r="F362" i="1"/>
  <c r="G360" i="5" l="1"/>
  <c r="E361" i="5"/>
  <c r="F361" i="5" s="1"/>
  <c r="F364" i="2"/>
  <c r="E365" i="2"/>
  <c r="D364" i="1"/>
  <c r="E364" i="1" s="1"/>
  <c r="F363" i="1"/>
  <c r="G361" i="5" l="1"/>
  <c r="E362" i="5"/>
  <c r="F362" i="5" s="1"/>
  <c r="F279" i="4"/>
  <c r="F365" i="2"/>
  <c r="E366" i="2"/>
  <c r="D365" i="1"/>
  <c r="E365" i="1" s="1"/>
  <c r="F364" i="1"/>
  <c r="G362" i="5" l="1"/>
  <c r="E363" i="5"/>
  <c r="F363" i="5" s="1"/>
  <c r="F280" i="4"/>
  <c r="F366" i="2"/>
  <c r="E367" i="2"/>
  <c r="D366" i="1"/>
  <c r="E366" i="1" s="1"/>
  <c r="F365" i="1"/>
  <c r="G363" i="5" l="1"/>
  <c r="E364" i="5"/>
  <c r="F364" i="5" s="1"/>
  <c r="F367" i="2"/>
  <c r="E368" i="2"/>
  <c r="D367" i="1"/>
  <c r="E367" i="1" s="1"/>
  <c r="F366" i="1"/>
  <c r="G364" i="5" l="1"/>
  <c r="E365" i="5"/>
  <c r="F365" i="5" s="1"/>
  <c r="F281" i="4"/>
  <c r="F368" i="2"/>
  <c r="E369" i="2"/>
  <c r="D368" i="1"/>
  <c r="E368" i="1" s="1"/>
  <c r="F367" i="1"/>
  <c r="G365" i="5" l="1"/>
  <c r="E366" i="5"/>
  <c r="F366" i="5" s="1"/>
  <c r="F282" i="4"/>
  <c r="F369" i="2"/>
  <c r="E370" i="2"/>
  <c r="D369" i="1"/>
  <c r="E369" i="1" s="1"/>
  <c r="F368" i="1"/>
  <c r="G366" i="5" l="1"/>
  <c r="E367" i="5"/>
  <c r="F367" i="5" s="1"/>
  <c r="F370" i="2"/>
  <c r="E371" i="2"/>
  <c r="D370" i="1"/>
  <c r="E370" i="1" s="1"/>
  <c r="F369" i="1"/>
  <c r="G367" i="5" l="1"/>
  <c r="E368" i="5"/>
  <c r="F368" i="5" s="1"/>
  <c r="F283" i="4"/>
  <c r="F371" i="2"/>
  <c r="E372" i="2"/>
  <c r="D371" i="1"/>
  <c r="E371" i="1" s="1"/>
  <c r="F370" i="1"/>
  <c r="G368" i="5" l="1"/>
  <c r="E369" i="5"/>
  <c r="F369" i="5" s="1"/>
  <c r="F284" i="4"/>
  <c r="F372" i="2"/>
  <c r="E373" i="2"/>
  <c r="D372" i="1"/>
  <c r="E372" i="1" s="1"/>
  <c r="F371" i="1"/>
  <c r="G369" i="5" l="1"/>
  <c r="E370" i="5"/>
  <c r="F370" i="5" s="1"/>
  <c r="E374" i="2"/>
  <c r="F373" i="2"/>
  <c r="D373" i="1"/>
  <c r="E373" i="1" s="1"/>
  <c r="F372" i="1"/>
  <c r="G370" i="5" l="1"/>
  <c r="E371" i="5"/>
  <c r="F371" i="5" s="1"/>
  <c r="F285" i="4"/>
  <c r="F374" i="2"/>
  <c r="E375" i="2"/>
  <c r="D374" i="1"/>
  <c r="E374" i="1" s="1"/>
  <c r="F373" i="1"/>
  <c r="G371" i="5" l="1"/>
  <c r="E372" i="5"/>
  <c r="F372" i="5" s="1"/>
  <c r="F286" i="4"/>
  <c r="F375" i="2"/>
  <c r="E376" i="2"/>
  <c r="D375" i="1"/>
  <c r="E375" i="1" s="1"/>
  <c r="F374" i="1"/>
  <c r="G372" i="5" l="1"/>
  <c r="E373" i="5"/>
  <c r="F373" i="5" s="1"/>
  <c r="F376" i="2"/>
  <c r="E377" i="2"/>
  <c r="D376" i="1"/>
  <c r="E376" i="1" s="1"/>
  <c r="F375" i="1"/>
  <c r="G373" i="5" l="1"/>
  <c r="E374" i="5"/>
  <c r="F374" i="5" s="1"/>
  <c r="F287" i="4"/>
  <c r="F377" i="2"/>
  <c r="E378" i="2"/>
  <c r="D377" i="1"/>
  <c r="E377" i="1" s="1"/>
  <c r="F376" i="1"/>
  <c r="G374" i="5" l="1"/>
  <c r="E375" i="5"/>
  <c r="F375" i="5" s="1"/>
  <c r="F288" i="4"/>
  <c r="F378" i="2"/>
  <c r="E379" i="2"/>
  <c r="D378" i="1"/>
  <c r="E378" i="1" s="1"/>
  <c r="F377" i="1"/>
  <c r="G375" i="5" l="1"/>
  <c r="E376" i="5"/>
  <c r="F376" i="5" s="1"/>
  <c r="F379" i="2"/>
  <c r="E380" i="2"/>
  <c r="D379" i="1"/>
  <c r="E379" i="1" s="1"/>
  <c r="F378" i="1"/>
  <c r="G376" i="5" l="1"/>
  <c r="E377" i="5"/>
  <c r="F377" i="5" s="1"/>
  <c r="F289" i="4"/>
  <c r="F380" i="2"/>
  <c r="E381" i="2"/>
  <c r="D380" i="1"/>
  <c r="E380" i="1" s="1"/>
  <c r="F379" i="1"/>
  <c r="G377" i="5" l="1"/>
  <c r="E378" i="5"/>
  <c r="F378" i="5" s="1"/>
  <c r="F290" i="4"/>
  <c r="F381" i="2"/>
  <c r="E382" i="2"/>
  <c r="D381" i="1"/>
  <c r="E381" i="1" s="1"/>
  <c r="F380" i="1"/>
  <c r="G378" i="5" l="1"/>
  <c r="E379" i="5"/>
  <c r="F379" i="5" s="1"/>
  <c r="E383" i="2"/>
  <c r="F382" i="2"/>
  <c r="D382" i="1"/>
  <c r="E382" i="1" s="1"/>
  <c r="F381" i="1"/>
  <c r="G379" i="5" l="1"/>
  <c r="E380" i="5"/>
  <c r="F380" i="5" s="1"/>
  <c r="F291" i="4"/>
  <c r="F383" i="2"/>
  <c r="E384" i="2"/>
  <c r="D383" i="1"/>
  <c r="E383" i="1" s="1"/>
  <c r="F382" i="1"/>
  <c r="G380" i="5" l="1"/>
  <c r="E381" i="5"/>
  <c r="F381" i="5" s="1"/>
  <c r="F292" i="4"/>
  <c r="F384" i="2"/>
  <c r="E385" i="2"/>
  <c r="D384" i="1"/>
  <c r="E384" i="1" s="1"/>
  <c r="F383" i="1"/>
  <c r="G381" i="5" l="1"/>
  <c r="E382" i="5"/>
  <c r="F382" i="5" s="1"/>
  <c r="E386" i="2"/>
  <c r="F385" i="2"/>
  <c r="D385" i="1"/>
  <c r="E385" i="1" s="1"/>
  <c r="F384" i="1"/>
  <c r="G382" i="5" l="1"/>
  <c r="E383" i="5"/>
  <c r="F383" i="5" s="1"/>
  <c r="F293" i="4"/>
  <c r="F386" i="2"/>
  <c r="E387" i="2"/>
  <c r="D386" i="1"/>
  <c r="E386" i="1" s="1"/>
  <c r="F385" i="1"/>
  <c r="G383" i="5" l="1"/>
  <c r="E384" i="5"/>
  <c r="F384" i="5" s="1"/>
  <c r="F294" i="4"/>
  <c r="F387" i="2"/>
  <c r="E388" i="2"/>
  <c r="D387" i="1"/>
  <c r="E387" i="1" s="1"/>
  <c r="F386" i="1"/>
  <c r="G384" i="5" l="1"/>
  <c r="E385" i="5"/>
  <c r="F385" i="5" s="1"/>
  <c r="F388" i="2"/>
  <c r="E389" i="2"/>
  <c r="D388" i="1"/>
  <c r="E388" i="1" s="1"/>
  <c r="F387" i="1"/>
  <c r="G385" i="5" l="1"/>
  <c r="E386" i="5"/>
  <c r="F386" i="5" s="1"/>
  <c r="F295" i="4"/>
  <c r="F389" i="2"/>
  <c r="E390" i="2"/>
  <c r="D389" i="1"/>
  <c r="E389" i="1" s="1"/>
  <c r="F388" i="1"/>
  <c r="G386" i="5" l="1"/>
  <c r="E387" i="5"/>
  <c r="F387" i="5" s="1"/>
  <c r="F296" i="4"/>
  <c r="E391" i="2"/>
  <c r="F390" i="2"/>
  <c r="D390" i="1"/>
  <c r="E390" i="1" s="1"/>
  <c r="F389" i="1"/>
  <c r="G387" i="5" l="1"/>
  <c r="E388" i="5"/>
  <c r="F388" i="5" s="1"/>
  <c r="F391" i="2"/>
  <c r="E392" i="2"/>
  <c r="D391" i="1"/>
  <c r="E391" i="1" s="1"/>
  <c r="F390" i="1"/>
  <c r="G388" i="5" l="1"/>
  <c r="E389" i="5"/>
  <c r="F389" i="5" s="1"/>
  <c r="F297" i="4"/>
  <c r="F392" i="2"/>
  <c r="E393" i="2"/>
  <c r="D392" i="1"/>
  <c r="E392" i="1" s="1"/>
  <c r="F391" i="1"/>
  <c r="G389" i="5" l="1"/>
  <c r="E390" i="5"/>
  <c r="F390" i="5" s="1"/>
  <c r="F298" i="4"/>
  <c r="F393" i="2"/>
  <c r="E394" i="2"/>
  <c r="D393" i="1"/>
  <c r="E393" i="1" s="1"/>
  <c r="F392" i="1"/>
  <c r="G390" i="5" l="1"/>
  <c r="E391" i="5"/>
  <c r="F391" i="5" s="1"/>
  <c r="F394" i="2"/>
  <c r="E395" i="2"/>
  <c r="D394" i="1"/>
  <c r="E394" i="1" s="1"/>
  <c r="F393" i="1"/>
  <c r="G391" i="5" l="1"/>
  <c r="E392" i="5"/>
  <c r="F392" i="5" s="1"/>
  <c r="F299" i="4"/>
  <c r="F395" i="2"/>
  <c r="E396" i="2"/>
  <c r="D395" i="1"/>
  <c r="E395" i="1" s="1"/>
  <c r="F394" i="1"/>
  <c r="G392" i="5" l="1"/>
  <c r="E393" i="5"/>
  <c r="F393" i="5" s="1"/>
  <c r="F300" i="4"/>
  <c r="F396" i="2"/>
  <c r="E397" i="2"/>
  <c r="D396" i="1"/>
  <c r="E396" i="1" s="1"/>
  <c r="F395" i="1"/>
  <c r="G393" i="5" l="1"/>
  <c r="E394" i="5"/>
  <c r="F394" i="5" s="1"/>
  <c r="E398" i="2"/>
  <c r="F397" i="2"/>
  <c r="D397" i="1"/>
  <c r="E397" i="1" s="1"/>
  <c r="F396" i="1"/>
  <c r="G394" i="5" l="1"/>
  <c r="E395" i="5"/>
  <c r="F395" i="5" s="1"/>
  <c r="F301" i="4"/>
  <c r="F398" i="2"/>
  <c r="E399" i="2"/>
  <c r="D398" i="1"/>
  <c r="E398" i="1" s="1"/>
  <c r="F397" i="1"/>
  <c r="G395" i="5" l="1"/>
  <c r="E396" i="5"/>
  <c r="F396" i="5" s="1"/>
  <c r="F302" i="4"/>
  <c r="F399" i="2"/>
  <c r="E400" i="2"/>
  <c r="D399" i="1"/>
  <c r="E399" i="1" s="1"/>
  <c r="F398" i="1"/>
  <c r="G396" i="5" l="1"/>
  <c r="E397" i="5"/>
  <c r="F397" i="5" s="1"/>
  <c r="F400" i="2"/>
  <c r="E401" i="2"/>
  <c r="F401" i="2" s="1"/>
  <c r="D400" i="1"/>
  <c r="E400" i="1" s="1"/>
  <c r="F399" i="1"/>
  <c r="G397" i="5" l="1"/>
  <c r="E398" i="5"/>
  <c r="F398" i="5" s="1"/>
  <c r="F303" i="4"/>
  <c r="D401" i="1"/>
  <c r="E401" i="1" s="1"/>
  <c r="F401" i="1" s="1"/>
  <c r="G3" i="1" s="1"/>
  <c r="G4" i="1" s="1"/>
  <c r="F400" i="1"/>
  <c r="G398" i="5" l="1"/>
  <c r="E399" i="5"/>
  <c r="F399" i="5" s="1"/>
  <c r="F304" i="4"/>
  <c r="G399" i="5" l="1"/>
  <c r="E400" i="5"/>
  <c r="F400" i="5" s="1"/>
  <c r="F305" i="4"/>
  <c r="G400" i="5" l="1"/>
  <c r="E401" i="5"/>
  <c r="F401" i="5" s="1"/>
  <c r="G401" i="5" s="1"/>
  <c r="H3" i="5"/>
  <c r="H4" i="5" s="1"/>
  <c r="F306" i="4"/>
  <c r="F307" i="4" l="1"/>
  <c r="F308" i="4" l="1"/>
  <c r="F309" i="4" l="1"/>
  <c r="F310" i="4" l="1"/>
  <c r="F311" i="4" l="1"/>
  <c r="F312" i="4" l="1"/>
  <c r="F313" i="4" l="1"/>
  <c r="F314" i="4" l="1"/>
  <c r="F315" i="4" l="1"/>
  <c r="F316" i="4" l="1"/>
  <c r="F317" i="4" l="1"/>
  <c r="F318" i="4" l="1"/>
  <c r="F319" i="4" l="1"/>
  <c r="F320" i="4" l="1"/>
  <c r="F321" i="4" l="1"/>
  <c r="F322" i="4" l="1"/>
  <c r="F323" i="4" l="1"/>
  <c r="F324" i="4" l="1"/>
  <c r="F325" i="4" l="1"/>
  <c r="F326" i="4" l="1"/>
  <c r="F327" i="4" l="1"/>
  <c r="F328" i="4" l="1"/>
  <c r="F329" i="4" l="1"/>
  <c r="F330" i="4" l="1"/>
  <c r="F331" i="4" l="1"/>
  <c r="F332" i="4" l="1"/>
  <c r="F333" i="4" l="1"/>
  <c r="F334" i="4" l="1"/>
  <c r="F335" i="4" l="1"/>
  <c r="F336" i="4" l="1"/>
  <c r="F337" i="4" l="1"/>
  <c r="F338" i="4" l="1"/>
  <c r="F339" i="4" l="1"/>
  <c r="F340" i="4" l="1"/>
  <c r="F341" i="4" l="1"/>
  <c r="F342" i="4" l="1"/>
  <c r="F343" i="4" l="1"/>
  <c r="F344" i="4" l="1"/>
  <c r="F345" i="4" l="1"/>
  <c r="F346" i="4" l="1"/>
  <c r="F347" i="4" l="1"/>
  <c r="F348" i="4" l="1"/>
  <c r="F349" i="4" l="1"/>
  <c r="F350" i="4" l="1"/>
  <c r="F351" i="4" l="1"/>
  <c r="F352" i="4" l="1"/>
  <c r="F353" i="4" l="1"/>
  <c r="F354" i="4" l="1"/>
  <c r="F355" i="4" l="1"/>
  <c r="F356" i="4" l="1"/>
  <c r="F357" i="4" l="1"/>
  <c r="F358" i="4" l="1"/>
  <c r="F359" i="4" l="1"/>
  <c r="F360" i="4" l="1"/>
  <c r="F361" i="4" l="1"/>
  <c r="F362" i="4" l="1"/>
  <c r="F363" i="4" l="1"/>
  <c r="F364" i="4" l="1"/>
  <c r="F365" i="4" l="1"/>
  <c r="F366" i="4" l="1"/>
  <c r="F367" i="4" l="1"/>
  <c r="F368" i="4" l="1"/>
  <c r="F369" i="4" l="1"/>
  <c r="F370" i="4" l="1"/>
  <c r="F371" i="4" l="1"/>
  <c r="F372" i="4" l="1"/>
  <c r="F373" i="4" l="1"/>
  <c r="F374" i="4" l="1"/>
  <c r="F375" i="4" l="1"/>
  <c r="F376" i="4" l="1"/>
  <c r="F377" i="4" l="1"/>
  <c r="F378" i="4" l="1"/>
  <c r="F379" i="4" l="1"/>
  <c r="F380" i="4" l="1"/>
  <c r="F381" i="4" l="1"/>
  <c r="F382" i="4" l="1"/>
  <c r="F383" i="4" l="1"/>
  <c r="F384" i="4" l="1"/>
  <c r="F385" i="4" l="1"/>
  <c r="F386" i="4" l="1"/>
  <c r="F387" i="4" l="1"/>
  <c r="F388" i="4" l="1"/>
  <c r="F389" i="4" l="1"/>
  <c r="F390" i="4" l="1"/>
  <c r="F391" i="4" l="1"/>
  <c r="F392" i="4" l="1"/>
  <c r="F393" i="4" l="1"/>
  <c r="F394" i="4" l="1"/>
  <c r="F395" i="4" l="1"/>
  <c r="F396" i="4" l="1"/>
  <c r="F397" i="4" l="1"/>
  <c r="F398" i="4" l="1"/>
  <c r="F399" i="4" l="1"/>
  <c r="F400" i="4" l="1"/>
  <c r="F401" i="4" l="1"/>
  <c r="G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<sst xmlns="http://schemas.openxmlformats.org/spreadsheetml/2006/main" count="75" uniqueCount="51">
  <si>
    <t>t</t>
  </si>
  <si>
    <t>date</t>
  </si>
  <si>
    <t>data (Yt aktual)</t>
  </si>
  <si>
    <t xml:space="preserve">Yt_pred = 0.03559yt-1 + 0.96yt-2 + et - 0.99et-1 </t>
  </si>
  <si>
    <t>et</t>
  </si>
  <si>
    <t>et^2</t>
  </si>
  <si>
    <t>ARMA(2, 1)</t>
  </si>
  <si>
    <t>MSE</t>
  </si>
  <si>
    <t>RMSE</t>
  </si>
  <si>
    <t xml:space="preserve">Yt_pred = 0.03559yt-1 + 0.96yt-2 </t>
  </si>
  <si>
    <t>AR(2) MA(0)</t>
  </si>
  <si>
    <t xml:space="preserve">Yt_pred = 0.99et-1 </t>
  </si>
  <si>
    <t>MA(1) AR(0)</t>
  </si>
  <si>
    <t>Yt_bar</t>
  </si>
  <si>
    <t>Yt-Y_bar</t>
  </si>
  <si>
    <t>Yt-1</t>
  </si>
  <si>
    <t>Yt-1 -Yt_bar</t>
  </si>
  <si>
    <t>Yt-Yt_bar^2</t>
  </si>
  <si>
    <t>Yt-Y_bar * Yt-1 - Y_bar</t>
  </si>
  <si>
    <t>Jumlah Yt-Y_bar * Yt-1 - Y_bar</t>
  </si>
  <si>
    <t>Jumlah Yt-Yt_bar^2</t>
  </si>
  <si>
    <t>P1</t>
  </si>
  <si>
    <t>Yt,Yt-1</t>
  </si>
  <si>
    <t>Yt-1^2</t>
  </si>
  <si>
    <t>Shi1</t>
  </si>
  <si>
    <t>Shi_bar</t>
  </si>
  <si>
    <t>Year</t>
  </si>
  <si>
    <t>Month</t>
  </si>
  <si>
    <t>Airlinepassengers</t>
  </si>
  <si>
    <t>trend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</si>
  <si>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</si>
  <si>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</si>
  <si>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</si>
  <si>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</si>
  <si>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</si>
  <si>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</si>
  <si>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</si>
  <si>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</si>
  <si>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</si>
  <si>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</si>
  <si>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</si>
  <si>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</si>
  <si>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 xml:space="preserve">   </t>
  </si>
  <si>
    <t xml:space="preserve">Yt_bar </t>
  </si>
  <si>
    <t>Yt - 1</t>
  </si>
  <si>
    <t>Yt  - 1 - Yt_bar</t>
  </si>
  <si>
    <t>Yt  - 1 - Yt_bar^2</t>
  </si>
  <si>
    <t>Yt - Y</t>
  </si>
  <si>
    <t>mean</t>
  </si>
  <si>
    <t>yt_demean</t>
  </si>
  <si>
    <t xml:space="preserve">Yt_pred = - 0.99et-1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</si>
</sst>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34" borderId="0" xfId="0" applyFill="1"/>
    <xf numFmtId="0" fontId="16" fillId="34" borderId="10" xfId="0" applyFont="1" applyFill="1" applyBorder="1"/>
    <xf numFmtId="0" fontId="0" fillId="34" borderId="12" xfId="0" applyFill="1" applyBorder="1"/>
    <xf numFmtId="0" fontId="16" fillId="33" borderId="11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 wrapText="1"/>
    </xf>
    <xf numFmtId="15" fontId="0" fillId="0" borderId="11" xfId="0" applyNumberFormat="1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15" fontId="0" fillId="0" borderId="10" xfId="0" applyNumberFormat="1" applyBorder="1"/>
    <xf numFmtId="0" fontId="16" fillId="35" borderId="11" xfId="0" applyFont="1" applyFill="1" applyBorder="1"/>
    <xf numFmtId="0" fontId="16" fillId="34" borderId="0" xfId="0" applyFont="1" applyFill="1"/>
    <xf numFmtId="0" fontId="0" fillId="35" borderId="11" xfId="0" applyFill="1" applyBorder="1"/>
    <xf numFmtId="0" fontId="16" fillId="33" borderId="13" xfId="0" applyFont="1" applyFill="1" applyBorder="1" applyAlignment="1">
      <alignment horizontal="center" vertical="center"/>
    </xf>
    <xf numFmtId="0" fontId="0" fillId="0" borderId="13" xfId="0" applyBorder="1"/>
    <xf numFmtId="0" fontId="16" fillId="33" borderId="10" xfId="0" applyFont="1" applyFill="1" applyBorder="1"/>
    <xf numFmtId="0" fontId="0" fillId="33" borderId="0" xfId="0" applyFill="1"/>
    <xf numFmtId="0" fontId="16" fillId="0" borderId="0" xfId="0" applyFont="1"/>
    <xf numFmtId="0" fontId="16" fillId="33" borderId="14" xfId="0" applyFont="1" applyFill="1" applyBorder="1"/>
    <xf numFmtId="0" fontId="0" fillId="0" borderId="14" xfId="0" applyBorder="1"/>
    <xf numFmtId="0" fontId="16" fillId="33" borderId="12" xfId="0" applyFont="1" applyFill="1" applyBorder="1"/>
    <xf numFmtId="0" fontId="0" fillId="0" borderId="12" xfId="0" applyBorder="1"/>
    <xf numFmtId="0" fontId="18" fillId="33" borderId="0" xfId="0" applyFont="1" applyFill="1"/>
    <xf numFmtId="0" fontId="18" fillId="33" borderId="10" xfId="0" applyFont="1" applyFill="1" applyBorder="1"/>
    <xf numFmtId="0" fontId="16" fillId="33" borderId="15" xfId="0" applyFont="1" applyFill="1" applyBorder="1"/>
    <xf numFmtId="0" fontId="0" fillId="0" borderId="15" xfId="0" applyBorder="1"/>
    <xf numFmtId="0" fontId="18" fillId="33" borderId="14" xfId="0" applyFont="1" applyFill="1" applyBorder="1"/>
    <xf numFmtId="0" fontId="18" fillId="33" borderId="12" xfId="0" applyFont="1" applyFill="1" applyBorder="1"/>
    <xf numFmtId="0" fontId="16" fillId="33" borderId="12" xfId="0" applyFont="1" applyFill="1" applyBorder="1" applyAlignment="1">
      <alignment wrapText="1"/>
    </xf>
    <xf numFmtId="0" fontId="19" fillId="0" borderId="0" xfId="0" applyFont="1"/>
    <xf numFmtId="0" fontId="20" fillId="33" borderId="0" xfId="0" applyFont="1" applyFill="1"/>
    <xf numFmtId="0" fontId="19" fillId="0" borderId="0" xfId="0" applyFont="1" applyAlignment="1">
      <alignment wrapText="1"/>
    </xf>
    <xf numFmtId="0" fontId="16" fillId="33" borderId="12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ARMA(2,1)</a:t>
            </a:r>
            <a:endParaRPr lang="id-ID"/>
          </a:p>
        </c:rich>
      </c:tx>
      <c:layout>
        <c:manualLayout>
          <c:xMode val="edge"/>
          <c:yMode val="edge"/>
          <c:x val="0.41981553473978112"/>
          <c:y val="2.9639068493086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'ARMA(2,1)'!$C$1</c:f>
              <c:strCache>
                <c:ptCount val="1"/>
                <c:pt idx="0">
                  <c:v>data (Yt aktual)</c:v>
                </c:pt>
              </c:strCache>
            </c:strRef>
          </c:tx>
          <c:spPr>
            <a:ln w="31750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'ARMA(2,1)'!$C$2:$C$401</c:f>
              <c:numCache>
                <c:formatCode>General</c:formatCode>
                <c:ptCount val="400"/>
                <c:pt idx="0">
                  <c:v>68.346715680000003</c:v>
                </c:pt>
                <c:pt idx="1">
                  <c:v>69.648484909999993</c:v>
                </c:pt>
                <c:pt idx="2">
                  <c:v>69.340707750000007</c:v>
                </c:pt>
                <c:pt idx="3">
                  <c:v>69.947982330000002</c:v>
                </c:pt>
                <c:pt idx="4">
                  <c:v>68.760614149999995</c:v>
                </c:pt>
                <c:pt idx="5">
                  <c:v>68.681916150000006</c:v>
                </c:pt>
                <c:pt idx="6">
                  <c:v>69.470476039999994</c:v>
                </c:pt>
                <c:pt idx="7">
                  <c:v>68.417010970000007</c:v>
                </c:pt>
                <c:pt idx="8">
                  <c:v>69.324211640000001</c:v>
                </c:pt>
                <c:pt idx="9">
                  <c:v>69.690276130000001</c:v>
                </c:pt>
                <c:pt idx="10">
                  <c:v>68.274545989999993</c:v>
                </c:pt>
                <c:pt idx="11">
                  <c:v>67.754401999999999</c:v>
                </c:pt>
                <c:pt idx="12">
                  <c:v>69.775397490000003</c:v>
                </c:pt>
                <c:pt idx="13">
                  <c:v>71.434473879999999</c:v>
                </c:pt>
                <c:pt idx="14">
                  <c:v>70.796156440000004</c:v>
                </c:pt>
                <c:pt idx="15">
                  <c:v>70.452113510000004</c:v>
                </c:pt>
                <c:pt idx="16">
                  <c:v>70.256264740000006</c:v>
                </c:pt>
                <c:pt idx="17">
                  <c:v>70.347747769999998</c:v>
                </c:pt>
                <c:pt idx="18">
                  <c:v>71.417753250000004</c:v>
                </c:pt>
                <c:pt idx="19">
                  <c:v>69.239329220000002</c:v>
                </c:pt>
                <c:pt idx="20">
                  <c:v>69.794732289999999</c:v>
                </c:pt>
                <c:pt idx="21">
                  <c:v>69.723031649999996</c:v>
                </c:pt>
                <c:pt idx="22">
                  <c:v>69.671140370000003</c:v>
                </c:pt>
                <c:pt idx="23">
                  <c:v>69.583524999999995</c:v>
                </c:pt>
                <c:pt idx="24">
                  <c:v>69.473625769999998</c:v>
                </c:pt>
                <c:pt idx="25">
                  <c:v>68.582921769999999</c:v>
                </c:pt>
                <c:pt idx="26">
                  <c:v>69.491004529999998</c:v>
                </c:pt>
                <c:pt idx="27">
                  <c:v>71.790669219999998</c:v>
                </c:pt>
                <c:pt idx="28">
                  <c:v>71.170967149999996</c:v>
                </c:pt>
                <c:pt idx="29">
                  <c:v>70.163994479999999</c:v>
                </c:pt>
                <c:pt idx="30">
                  <c:v>69.059807509999999</c:v>
                </c:pt>
                <c:pt idx="31">
                  <c:v>69.269211609999999</c:v>
                </c:pt>
                <c:pt idx="32">
                  <c:v>70.309751140000003</c:v>
                </c:pt>
                <c:pt idx="33">
                  <c:v>70.034844759999999</c:v>
                </c:pt>
                <c:pt idx="34">
                  <c:v>69.474177470000001</c:v>
                </c:pt>
                <c:pt idx="35">
                  <c:v>70.077317600000001</c:v>
                </c:pt>
                <c:pt idx="36">
                  <c:v>69.286132550000005</c:v>
                </c:pt>
                <c:pt idx="37">
                  <c:v>69.800980879999997</c:v>
                </c:pt>
                <c:pt idx="38">
                  <c:v>70.915070560000004</c:v>
                </c:pt>
                <c:pt idx="39">
                  <c:v>71.968696609999995</c:v>
                </c:pt>
                <c:pt idx="40">
                  <c:v>70.816314790000007</c:v>
                </c:pt>
                <c:pt idx="41">
                  <c:v>71.266777129999994</c:v>
                </c:pt>
                <c:pt idx="42">
                  <c:v>71.54958173</c:v>
                </c:pt>
                <c:pt idx="43">
                  <c:v>69.553503259999999</c:v>
                </c:pt>
                <c:pt idx="44">
                  <c:v>68.049288919999995</c:v>
                </c:pt>
                <c:pt idx="45">
                  <c:v>68.658558740000004</c:v>
                </c:pt>
                <c:pt idx="46">
                  <c:v>70.809284059999996</c:v>
                </c:pt>
                <c:pt idx="47">
                  <c:v>70.81571581</c:v>
                </c:pt>
                <c:pt idx="48">
                  <c:v>69.645986710000003</c:v>
                </c:pt>
                <c:pt idx="49">
                  <c:v>71.095120460000004</c:v>
                </c:pt>
                <c:pt idx="50">
                  <c:v>71.050180749999996</c:v>
                </c:pt>
                <c:pt idx="51">
                  <c:v>67.980978039999997</c:v>
                </c:pt>
                <c:pt idx="52">
                  <c:v>68.790693219999994</c:v>
                </c:pt>
                <c:pt idx="53">
                  <c:v>70.400163140000004</c:v>
                </c:pt>
                <c:pt idx="54">
                  <c:v>70.828498569999994</c:v>
                </c:pt>
                <c:pt idx="55">
                  <c:v>70.826762299999999</c:v>
                </c:pt>
                <c:pt idx="56">
                  <c:v>70.180232200000006</c:v>
                </c:pt>
                <c:pt idx="57">
                  <c:v>68.541714760000005</c:v>
                </c:pt>
                <c:pt idx="58">
                  <c:v>68.700255189999993</c:v>
                </c:pt>
                <c:pt idx="59">
                  <c:v>68.71202289</c:v>
                </c:pt>
                <c:pt idx="60">
                  <c:v>68.684396269999993</c:v>
                </c:pt>
                <c:pt idx="61">
                  <c:v>68.333962540000002</c:v>
                </c:pt>
                <c:pt idx="62">
                  <c:v>69.847547739999996</c:v>
                </c:pt>
                <c:pt idx="63">
                  <c:v>70.506236029999997</c:v>
                </c:pt>
                <c:pt idx="64">
                  <c:v>69.901311930000006</c:v>
                </c:pt>
                <c:pt idx="65">
                  <c:v>69.139578420000007</c:v>
                </c:pt>
                <c:pt idx="66">
                  <c:v>69.489930369999996</c:v>
                </c:pt>
                <c:pt idx="67">
                  <c:v>71.031279420000004</c:v>
                </c:pt>
                <c:pt idx="68">
                  <c:v>68.767572830000006</c:v>
                </c:pt>
                <c:pt idx="69">
                  <c:v>69.328036389999994</c:v>
                </c:pt>
                <c:pt idx="70">
                  <c:v>69.420838009999997</c:v>
                </c:pt>
                <c:pt idx="71">
                  <c:v>67.969506050000007</c:v>
                </c:pt>
                <c:pt idx="72">
                  <c:v>67.009749139999997</c:v>
                </c:pt>
                <c:pt idx="73">
                  <c:v>67.902214180000001</c:v>
                </c:pt>
                <c:pt idx="74">
                  <c:v>69.857913319999994</c:v>
                </c:pt>
                <c:pt idx="75">
                  <c:v>70.937146670000004</c:v>
                </c:pt>
                <c:pt idx="76">
                  <c:v>69.665932440000006</c:v>
                </c:pt>
                <c:pt idx="77">
                  <c:v>70.535436450000006</c:v>
                </c:pt>
                <c:pt idx="78">
                  <c:v>71.844465639999996</c:v>
                </c:pt>
                <c:pt idx="79">
                  <c:v>71.342135029999994</c:v>
                </c:pt>
                <c:pt idx="80">
                  <c:v>69.66053866</c:v>
                </c:pt>
                <c:pt idx="81">
                  <c:v>70.518101869999995</c:v>
                </c:pt>
                <c:pt idx="82">
                  <c:v>71.168095219999998</c:v>
                </c:pt>
                <c:pt idx="83">
                  <c:v>71.412833980000002</c:v>
                </c:pt>
                <c:pt idx="84">
                  <c:v>69.840808150000001</c:v>
                </c:pt>
                <c:pt idx="85">
                  <c:v>66.646080190000006</c:v>
                </c:pt>
                <c:pt idx="86">
                  <c:v>70.152196689999997</c:v>
                </c:pt>
                <c:pt idx="87">
                  <c:v>69.486615549999996</c:v>
                </c:pt>
                <c:pt idx="88">
                  <c:v>69.610542249999995</c:v>
                </c:pt>
                <c:pt idx="89">
                  <c:v>72.301086040000001</c:v>
                </c:pt>
                <c:pt idx="90">
                  <c:v>71.828065699999996</c:v>
                </c:pt>
                <c:pt idx="91">
                  <c:v>71.355760079999996</c:v>
                </c:pt>
                <c:pt idx="92">
                  <c:v>68.762639770000007</c:v>
                </c:pt>
                <c:pt idx="93">
                  <c:v>67.073188880000004</c:v>
                </c:pt>
                <c:pt idx="94">
                  <c:v>68.082418610000005</c:v>
                </c:pt>
                <c:pt idx="95">
                  <c:v>70.818244230000005</c:v>
                </c:pt>
                <c:pt idx="96">
                  <c:v>70.719971509999993</c:v>
                </c:pt>
                <c:pt idx="97">
                  <c:v>69.391873320000002</c:v>
                </c:pt>
                <c:pt idx="98">
                  <c:v>69.617099830000001</c:v>
                </c:pt>
                <c:pt idx="99">
                  <c:v>71.034633119999995</c:v>
                </c:pt>
                <c:pt idx="100">
                  <c:v>69.290709719999995</c:v>
                </c:pt>
                <c:pt idx="101">
                  <c:v>68.053492899999995</c:v>
                </c:pt>
                <c:pt idx="102">
                  <c:v>68.25621357</c:v>
                </c:pt>
                <c:pt idx="103">
                  <c:v>70.632318650000002</c:v>
                </c:pt>
                <c:pt idx="104">
                  <c:v>71.137348639999999</c:v>
                </c:pt>
                <c:pt idx="105">
                  <c:v>72.624866999999995</c:v>
                </c:pt>
                <c:pt idx="106">
                  <c:v>72.170161329999999</c:v>
                </c:pt>
                <c:pt idx="107">
                  <c:v>70.479541519999998</c:v>
                </c:pt>
                <c:pt idx="108">
                  <c:v>70.901754350000004</c:v>
                </c:pt>
                <c:pt idx="109">
                  <c:v>70.608687169999996</c:v>
                </c:pt>
                <c:pt idx="110">
                  <c:v>69.389764639999996</c:v>
                </c:pt>
                <c:pt idx="111">
                  <c:v>70.131227480000007</c:v>
                </c:pt>
                <c:pt idx="112">
                  <c:v>69.565480440000002</c:v>
                </c:pt>
                <c:pt idx="113">
                  <c:v>69.409522920000001</c:v>
                </c:pt>
                <c:pt idx="114">
                  <c:v>71.103852320000001</c:v>
                </c:pt>
                <c:pt idx="115">
                  <c:v>70.738173029999999</c:v>
                </c:pt>
                <c:pt idx="116">
                  <c:v>69.308606729999994</c:v>
                </c:pt>
                <c:pt idx="117">
                  <c:v>68.899374440000003</c:v>
                </c:pt>
                <c:pt idx="118">
                  <c:v>70.568833229999996</c:v>
                </c:pt>
                <c:pt idx="119">
                  <c:v>70.118946930000007</c:v>
                </c:pt>
                <c:pt idx="120">
                  <c:v>69.513847339999998</c:v>
                </c:pt>
                <c:pt idx="121">
                  <c:v>69.162331589999994</c:v>
                </c:pt>
                <c:pt idx="122">
                  <c:v>69.827170240000001</c:v>
                </c:pt>
                <c:pt idx="123">
                  <c:v>69.762112909999999</c:v>
                </c:pt>
                <c:pt idx="124">
                  <c:v>68.30728062</c:v>
                </c:pt>
                <c:pt idx="125">
                  <c:v>68.168553560000007</c:v>
                </c:pt>
                <c:pt idx="126">
                  <c:v>68.476158909999995</c:v>
                </c:pt>
                <c:pt idx="127">
                  <c:v>70.878448660000004</c:v>
                </c:pt>
                <c:pt idx="128">
                  <c:v>71.796895570000004</c:v>
                </c:pt>
                <c:pt idx="129">
                  <c:v>71.401862120000004</c:v>
                </c:pt>
                <c:pt idx="130">
                  <c:v>69.796690290000001</c:v>
                </c:pt>
                <c:pt idx="131">
                  <c:v>68.641663989999998</c:v>
                </c:pt>
                <c:pt idx="132">
                  <c:v>68.738473709999994</c:v>
                </c:pt>
                <c:pt idx="133">
                  <c:v>68.598704920000003</c:v>
                </c:pt>
                <c:pt idx="134">
                  <c:v>72.034881229999996</c:v>
                </c:pt>
                <c:pt idx="135">
                  <c:v>69.39599561</c:v>
                </c:pt>
                <c:pt idx="136">
                  <c:v>69.591141530000002</c:v>
                </c:pt>
                <c:pt idx="137">
                  <c:v>68.651333940000001</c:v>
                </c:pt>
                <c:pt idx="138">
                  <c:v>69.209114409999998</c:v>
                </c:pt>
                <c:pt idx="139">
                  <c:v>68.942066519999997</c:v>
                </c:pt>
                <c:pt idx="140">
                  <c:v>68.42487663</c:v>
                </c:pt>
                <c:pt idx="141">
                  <c:v>68.232109719999997</c:v>
                </c:pt>
                <c:pt idx="142">
                  <c:v>71.166788999999994</c:v>
                </c:pt>
                <c:pt idx="143">
                  <c:v>71.097452059999995</c:v>
                </c:pt>
                <c:pt idx="144">
                  <c:v>69.542732340000001</c:v>
                </c:pt>
                <c:pt idx="145">
                  <c:v>69.95219075</c:v>
                </c:pt>
                <c:pt idx="146">
                  <c:v>70.118844060000001</c:v>
                </c:pt>
                <c:pt idx="147">
                  <c:v>70.805682970000007</c:v>
                </c:pt>
                <c:pt idx="148">
                  <c:v>68.623499910000007</c:v>
                </c:pt>
                <c:pt idx="149">
                  <c:v>69.235998960000003</c:v>
                </c:pt>
                <c:pt idx="150">
                  <c:v>70.727244240000005</c:v>
                </c:pt>
                <c:pt idx="151">
                  <c:v>69.003948570000006</c:v>
                </c:pt>
                <c:pt idx="152">
                  <c:v>69.632391150000004</c:v>
                </c:pt>
                <c:pt idx="153">
                  <c:v>71.77443169</c:v>
                </c:pt>
                <c:pt idx="154">
                  <c:v>71.160083970000002</c:v>
                </c:pt>
                <c:pt idx="155">
                  <c:v>70.985126809999997</c:v>
                </c:pt>
                <c:pt idx="156">
                  <c:v>70.91362135</c:v>
                </c:pt>
                <c:pt idx="157">
                  <c:v>69.545129070000002</c:v>
                </c:pt>
                <c:pt idx="158">
                  <c:v>69.492757769999997</c:v>
                </c:pt>
                <c:pt idx="159">
                  <c:v>68.265121230000005</c:v>
                </c:pt>
                <c:pt idx="160">
                  <c:v>68.659942369999996</c:v>
                </c:pt>
                <c:pt idx="161">
                  <c:v>69.982117029999998</c:v>
                </c:pt>
                <c:pt idx="162">
                  <c:v>71.114388000000005</c:v>
                </c:pt>
                <c:pt idx="163">
                  <c:v>70.698609820000001</c:v>
                </c:pt>
                <c:pt idx="164">
                  <c:v>70.804833220000006</c:v>
                </c:pt>
                <c:pt idx="165">
                  <c:v>69.170410770000004</c:v>
                </c:pt>
                <c:pt idx="166">
                  <c:v>69.159099220000002</c:v>
                </c:pt>
                <c:pt idx="167">
                  <c:v>69.763615689999995</c:v>
                </c:pt>
                <c:pt idx="168">
                  <c:v>71.960030889999999</c:v>
                </c:pt>
                <c:pt idx="169">
                  <c:v>71.03276717</c:v>
                </c:pt>
                <c:pt idx="170">
                  <c:v>69.532634400000006</c:v>
                </c:pt>
                <c:pt idx="171">
                  <c:v>69.431101709999993</c:v>
                </c:pt>
                <c:pt idx="172">
                  <c:v>68.879757260000005</c:v>
                </c:pt>
                <c:pt idx="173">
                  <c:v>69.691277690000007</c:v>
                </c:pt>
                <c:pt idx="174">
                  <c:v>69.785784219999996</c:v>
                </c:pt>
                <c:pt idx="175">
                  <c:v>68.172759679999999</c:v>
                </c:pt>
                <c:pt idx="176">
                  <c:v>68.909333989999993</c:v>
                </c:pt>
                <c:pt idx="177">
                  <c:v>69.576229400000003</c:v>
                </c:pt>
                <c:pt idx="178">
                  <c:v>68.440514140000005</c:v>
                </c:pt>
                <c:pt idx="179">
                  <c:v>69.124305509999999</c:v>
                </c:pt>
                <c:pt idx="180">
                  <c:v>71.43178503</c:v>
                </c:pt>
                <c:pt idx="181">
                  <c:v>71.643083110000006</c:v>
                </c:pt>
                <c:pt idx="182">
                  <c:v>71.168241550000005</c:v>
                </c:pt>
                <c:pt idx="183">
                  <c:v>68.866523270000002</c:v>
                </c:pt>
                <c:pt idx="184">
                  <c:v>69.446339870000003</c:v>
                </c:pt>
                <c:pt idx="185">
                  <c:v>70.156296519999998</c:v>
                </c:pt>
                <c:pt idx="186">
                  <c:v>70.788921189999996</c:v>
                </c:pt>
                <c:pt idx="187">
                  <c:v>70.849092380000002</c:v>
                </c:pt>
                <c:pt idx="188">
                  <c:v>68.912998349999995</c:v>
                </c:pt>
                <c:pt idx="189">
                  <c:v>69.051670479999999</c:v>
                </c:pt>
                <c:pt idx="190">
                  <c:v>68.99923192</c:v>
                </c:pt>
                <c:pt idx="191">
                  <c:v>69.633953919999996</c:v>
                </c:pt>
                <c:pt idx="192">
                  <c:v>69.183201850000003</c:v>
                </c:pt>
                <c:pt idx="193">
                  <c:v>70.932205300000007</c:v>
                </c:pt>
                <c:pt idx="194">
                  <c:v>69.945390239999995</c:v>
                </c:pt>
                <c:pt idx="195">
                  <c:v>68.788630400000002</c:v>
                </c:pt>
                <c:pt idx="196">
                  <c:v>69.36414757</c:v>
                </c:pt>
                <c:pt idx="197">
                  <c:v>68.904800359999996</c:v>
                </c:pt>
                <c:pt idx="198">
                  <c:v>69.108972640000005</c:v>
                </c:pt>
                <c:pt idx="199">
                  <c:v>68.963978879999999</c:v>
                </c:pt>
                <c:pt idx="200">
                  <c:v>71.056867600000004</c:v>
                </c:pt>
                <c:pt idx="201">
                  <c:v>71.730730719999997</c:v>
                </c:pt>
                <c:pt idx="202">
                  <c:v>70.663908640000002</c:v>
                </c:pt>
                <c:pt idx="203">
                  <c:v>69.487908910000002</c:v>
                </c:pt>
                <c:pt idx="204">
                  <c:v>70.434490370000006</c:v>
                </c:pt>
                <c:pt idx="205">
                  <c:v>70.819525630000001</c:v>
                </c:pt>
                <c:pt idx="206">
                  <c:v>70.859420670000006</c:v>
                </c:pt>
                <c:pt idx="207">
                  <c:v>70.243602480000007</c:v>
                </c:pt>
                <c:pt idx="208">
                  <c:v>68.200105260000001</c:v>
                </c:pt>
                <c:pt idx="209">
                  <c:v>68.734516429999999</c:v>
                </c:pt>
                <c:pt idx="210">
                  <c:v>69.24818836</c:v>
                </c:pt>
                <c:pt idx="211">
                  <c:v>70.573613359999996</c:v>
                </c:pt>
                <c:pt idx="212">
                  <c:v>71.581553940000006</c:v>
                </c:pt>
                <c:pt idx="213">
                  <c:v>70.118897309999994</c:v>
                </c:pt>
                <c:pt idx="214">
                  <c:v>70.065257439999996</c:v>
                </c:pt>
                <c:pt idx="215">
                  <c:v>71.739364269999996</c:v>
                </c:pt>
                <c:pt idx="216">
                  <c:v>70.356328610000006</c:v>
                </c:pt>
                <c:pt idx="217">
                  <c:v>71.373909620000006</c:v>
                </c:pt>
                <c:pt idx="218">
                  <c:v>69.864861349999998</c:v>
                </c:pt>
                <c:pt idx="219">
                  <c:v>69.529703679999997</c:v>
                </c:pt>
                <c:pt idx="220">
                  <c:v>69.747218189999998</c:v>
                </c:pt>
                <c:pt idx="221">
                  <c:v>70.000918709999993</c:v>
                </c:pt>
                <c:pt idx="222">
                  <c:v>69.238707730000002</c:v>
                </c:pt>
                <c:pt idx="223">
                  <c:v>68.95176592</c:v>
                </c:pt>
                <c:pt idx="224">
                  <c:v>68.931726949999998</c:v>
                </c:pt>
                <c:pt idx="225">
                  <c:v>70.000468990000002</c:v>
                </c:pt>
                <c:pt idx="226">
                  <c:v>70.650798420000001</c:v>
                </c:pt>
                <c:pt idx="227">
                  <c:v>72.616282690000006</c:v>
                </c:pt>
                <c:pt idx="228">
                  <c:v>72.745519090000002</c:v>
                </c:pt>
                <c:pt idx="229">
                  <c:v>70.352583409999994</c:v>
                </c:pt>
                <c:pt idx="230">
                  <c:v>69.712763929999994</c:v>
                </c:pt>
                <c:pt idx="231">
                  <c:v>70.719001320000004</c:v>
                </c:pt>
                <c:pt idx="232">
                  <c:v>70.548173439999999</c:v>
                </c:pt>
                <c:pt idx="233">
                  <c:v>70.043562089999995</c:v>
                </c:pt>
                <c:pt idx="234">
                  <c:v>69.913260159999993</c:v>
                </c:pt>
                <c:pt idx="235">
                  <c:v>70.802164099999999</c:v>
                </c:pt>
                <c:pt idx="236">
                  <c:v>69.658999890000004</c:v>
                </c:pt>
                <c:pt idx="237">
                  <c:v>69.229081230000006</c:v>
                </c:pt>
                <c:pt idx="238">
                  <c:v>70.110181920000002</c:v>
                </c:pt>
                <c:pt idx="239">
                  <c:v>70.608831850000001</c:v>
                </c:pt>
                <c:pt idx="240">
                  <c:v>70.571827299999995</c:v>
                </c:pt>
                <c:pt idx="241">
                  <c:v>69.790645659999996</c:v>
                </c:pt>
                <c:pt idx="242">
                  <c:v>70.675374989999995</c:v>
                </c:pt>
                <c:pt idx="243">
                  <c:v>72.601899549999999</c:v>
                </c:pt>
                <c:pt idx="244">
                  <c:v>71.764942719999993</c:v>
                </c:pt>
                <c:pt idx="245">
                  <c:v>70.085219069999994</c:v>
                </c:pt>
                <c:pt idx="246">
                  <c:v>70.277388909999999</c:v>
                </c:pt>
                <c:pt idx="247">
                  <c:v>69.601734989999997</c:v>
                </c:pt>
                <c:pt idx="248">
                  <c:v>68.928133979999998</c:v>
                </c:pt>
                <c:pt idx="249">
                  <c:v>69.509168639999999</c:v>
                </c:pt>
                <c:pt idx="250">
                  <c:v>67.444264360000005</c:v>
                </c:pt>
                <c:pt idx="251">
                  <c:v>67.459857659999997</c:v>
                </c:pt>
                <c:pt idx="252">
                  <c:v>68.894673429999997</c:v>
                </c:pt>
                <c:pt idx="253">
                  <c:v>68.745457900000005</c:v>
                </c:pt>
                <c:pt idx="254">
                  <c:v>68.546229609999997</c:v>
                </c:pt>
                <c:pt idx="255">
                  <c:v>69.067352060000005</c:v>
                </c:pt>
                <c:pt idx="256">
                  <c:v>68.233577060000002</c:v>
                </c:pt>
                <c:pt idx="257">
                  <c:v>68.813868819999996</c:v>
                </c:pt>
                <c:pt idx="258">
                  <c:v>69.282978009999994</c:v>
                </c:pt>
                <c:pt idx="259">
                  <c:v>69.951031369999995</c:v>
                </c:pt>
                <c:pt idx="260">
                  <c:v>71.339909449999993</c:v>
                </c:pt>
                <c:pt idx="261">
                  <c:v>70.991140669999993</c:v>
                </c:pt>
                <c:pt idx="262">
                  <c:v>70.213773590000002</c:v>
                </c:pt>
                <c:pt idx="263">
                  <c:v>69.930376409999994</c:v>
                </c:pt>
                <c:pt idx="264">
                  <c:v>70.121486540000006</c:v>
                </c:pt>
                <c:pt idx="265">
                  <c:v>69.077040350000004</c:v>
                </c:pt>
                <c:pt idx="266">
                  <c:v>69.295002920000002</c:v>
                </c:pt>
                <c:pt idx="267">
                  <c:v>70.162640890000006</c:v>
                </c:pt>
                <c:pt idx="268">
                  <c:v>68.938323670000003</c:v>
                </c:pt>
                <c:pt idx="269">
                  <c:v>70.179854860000006</c:v>
                </c:pt>
                <c:pt idx="270">
                  <c:v>71.507791850000004</c:v>
                </c:pt>
                <c:pt idx="271">
                  <c:v>70.219342659999995</c:v>
                </c:pt>
                <c:pt idx="272">
                  <c:v>69.437930249999994</c:v>
                </c:pt>
                <c:pt idx="273">
                  <c:v>68.718765009999998</c:v>
                </c:pt>
                <c:pt idx="274">
                  <c:v>70.099260409999999</c:v>
                </c:pt>
                <c:pt idx="275">
                  <c:v>69.382704459999999</c:v>
                </c:pt>
                <c:pt idx="276">
                  <c:v>69.377367539999995</c:v>
                </c:pt>
                <c:pt idx="277">
                  <c:v>68.952689280000001</c:v>
                </c:pt>
                <c:pt idx="278">
                  <c:v>69.609357579999994</c:v>
                </c:pt>
                <c:pt idx="279">
                  <c:v>68.285578490000006</c:v>
                </c:pt>
                <c:pt idx="280">
                  <c:v>70.415001459999999</c:v>
                </c:pt>
                <c:pt idx="281">
                  <c:v>69.79872091</c:v>
                </c:pt>
                <c:pt idx="282">
                  <c:v>69.814626790000005</c:v>
                </c:pt>
                <c:pt idx="283">
                  <c:v>69.736636759999996</c:v>
                </c:pt>
                <c:pt idx="284">
                  <c:v>69.135479509999996</c:v>
                </c:pt>
                <c:pt idx="285">
                  <c:v>68.672516540000004</c:v>
                </c:pt>
                <c:pt idx="286">
                  <c:v>70.399264619999997</c:v>
                </c:pt>
                <c:pt idx="287">
                  <c:v>70.112163210000006</c:v>
                </c:pt>
                <c:pt idx="288">
                  <c:v>70.218688729999997</c:v>
                </c:pt>
                <c:pt idx="289">
                  <c:v>69.296067390000005</c:v>
                </c:pt>
                <c:pt idx="290">
                  <c:v>68.864852380000002</c:v>
                </c:pt>
                <c:pt idx="291">
                  <c:v>70.002338359999996</c:v>
                </c:pt>
                <c:pt idx="292">
                  <c:v>71.2723558</c:v>
                </c:pt>
                <c:pt idx="293">
                  <c:v>70.587395569999998</c:v>
                </c:pt>
                <c:pt idx="294">
                  <c:v>68.54881073</c:v>
                </c:pt>
                <c:pt idx="295">
                  <c:v>70.951023849999999</c:v>
                </c:pt>
                <c:pt idx="296">
                  <c:v>70.149421779999997</c:v>
                </c:pt>
                <c:pt idx="297">
                  <c:v>68.262758509999998</c:v>
                </c:pt>
                <c:pt idx="298">
                  <c:v>71.507253160000005</c:v>
                </c:pt>
                <c:pt idx="299">
                  <c:v>71.021492050000006</c:v>
                </c:pt>
                <c:pt idx="300">
                  <c:v>68.698986590000004</c:v>
                </c:pt>
                <c:pt idx="301">
                  <c:v>68.229504570000003</c:v>
                </c:pt>
                <c:pt idx="302">
                  <c:v>69.695551660000007</c:v>
                </c:pt>
                <c:pt idx="303">
                  <c:v>70.538791180000004</c:v>
                </c:pt>
                <c:pt idx="304">
                  <c:v>69.562880010000001</c:v>
                </c:pt>
                <c:pt idx="305">
                  <c:v>71.398814250000001</c:v>
                </c:pt>
                <c:pt idx="306">
                  <c:v>70.448844870000002</c:v>
                </c:pt>
                <c:pt idx="307">
                  <c:v>68.664976060000001</c:v>
                </c:pt>
                <c:pt idx="308">
                  <c:v>70.025025569999997</c:v>
                </c:pt>
                <c:pt idx="309">
                  <c:v>71.744585369999996</c:v>
                </c:pt>
                <c:pt idx="310">
                  <c:v>70.221750450000002</c:v>
                </c:pt>
                <c:pt idx="311">
                  <c:v>68.208327370000006</c:v>
                </c:pt>
                <c:pt idx="312">
                  <c:v>69.888909549999994</c:v>
                </c:pt>
                <c:pt idx="313">
                  <c:v>68.42352391</c:v>
                </c:pt>
                <c:pt idx="314">
                  <c:v>67.860819820000003</c:v>
                </c:pt>
                <c:pt idx="315">
                  <c:v>70.156880869999995</c:v>
                </c:pt>
                <c:pt idx="316">
                  <c:v>70.68053003</c:v>
                </c:pt>
                <c:pt idx="317">
                  <c:v>70.097316410000005</c:v>
                </c:pt>
                <c:pt idx="318">
                  <c:v>70.207047439999997</c:v>
                </c:pt>
                <c:pt idx="319">
                  <c:v>69.942259120000003</c:v>
                </c:pt>
                <c:pt idx="320">
                  <c:v>68.604554519999994</c:v>
                </c:pt>
                <c:pt idx="321">
                  <c:v>70.45613032</c:v>
                </c:pt>
                <c:pt idx="322">
                  <c:v>72.017325889999995</c:v>
                </c:pt>
                <c:pt idx="323">
                  <c:v>71.278889000000007</c:v>
                </c:pt>
                <c:pt idx="324">
                  <c:v>70.207269650000001</c:v>
                </c:pt>
                <c:pt idx="325">
                  <c:v>72.080319900000006</c:v>
                </c:pt>
                <c:pt idx="326">
                  <c:v>70.909578199999999</c:v>
                </c:pt>
                <c:pt idx="327">
                  <c:v>69.662073969999994</c:v>
                </c:pt>
                <c:pt idx="328">
                  <c:v>69.888852170000007</c:v>
                </c:pt>
                <c:pt idx="329">
                  <c:v>71.50601107</c:v>
                </c:pt>
                <c:pt idx="330">
                  <c:v>72.529721739999999</c:v>
                </c:pt>
                <c:pt idx="331">
                  <c:v>70.80745709</c:v>
                </c:pt>
                <c:pt idx="332">
                  <c:v>70.03388898</c:v>
                </c:pt>
                <c:pt idx="333">
                  <c:v>68.400012790000005</c:v>
                </c:pt>
                <c:pt idx="334">
                  <c:v>68.71786487</c:v>
                </c:pt>
                <c:pt idx="335">
                  <c:v>68.870424689999993</c:v>
                </c:pt>
                <c:pt idx="336">
                  <c:v>68.700063599999993</c:v>
                </c:pt>
                <c:pt idx="337">
                  <c:v>71.240487470000005</c:v>
                </c:pt>
                <c:pt idx="338">
                  <c:v>70.341986739999996</c:v>
                </c:pt>
                <c:pt idx="339">
                  <c:v>69.301439900000005</c:v>
                </c:pt>
                <c:pt idx="340">
                  <c:v>69.844116700000001</c:v>
                </c:pt>
                <c:pt idx="341">
                  <c:v>71.413863320000004</c:v>
                </c:pt>
                <c:pt idx="342">
                  <c:v>71.376198110000004</c:v>
                </c:pt>
                <c:pt idx="343">
                  <c:v>73.160914980000001</c:v>
                </c:pt>
                <c:pt idx="344">
                  <c:v>71.409021580000001</c:v>
                </c:pt>
                <c:pt idx="345">
                  <c:v>70.155854890000001</c:v>
                </c:pt>
                <c:pt idx="346">
                  <c:v>69.946407140000005</c:v>
                </c:pt>
                <c:pt idx="347">
                  <c:v>71.356137200000006</c:v>
                </c:pt>
                <c:pt idx="348">
                  <c:v>71.336999129999995</c:v>
                </c:pt>
                <c:pt idx="349">
                  <c:v>70.279128619999994</c:v>
                </c:pt>
                <c:pt idx="350">
                  <c:v>68.81888884</c:v>
                </c:pt>
                <c:pt idx="351">
                  <c:v>69.452038169999994</c:v>
                </c:pt>
                <c:pt idx="352">
                  <c:v>71.426901079999993</c:v>
                </c:pt>
                <c:pt idx="353">
                  <c:v>70.610147400000002</c:v>
                </c:pt>
                <c:pt idx="354">
                  <c:v>70.466961740000002</c:v>
                </c:pt>
                <c:pt idx="355">
                  <c:v>70.343280609999994</c:v>
                </c:pt>
                <c:pt idx="356">
                  <c:v>70.929399500000002</c:v>
                </c:pt>
                <c:pt idx="357">
                  <c:v>69.649901779999993</c:v>
                </c:pt>
                <c:pt idx="358">
                  <c:v>71.857768250000007</c:v>
                </c:pt>
                <c:pt idx="359">
                  <c:v>69.940529310000002</c:v>
                </c:pt>
                <c:pt idx="360">
                  <c:v>69.041436020000006</c:v>
                </c:pt>
                <c:pt idx="361">
                  <c:v>70.380795359999993</c:v>
                </c:pt>
                <c:pt idx="362">
                  <c:v>70.812779579999997</c:v>
                </c:pt>
                <c:pt idx="363">
                  <c:v>71.203415300000003</c:v>
                </c:pt>
                <c:pt idx="364">
                  <c:v>69.982112970000003</c:v>
                </c:pt>
                <c:pt idx="365">
                  <c:v>69.553438209999996</c:v>
                </c:pt>
                <c:pt idx="366">
                  <c:v>69.749661020000005</c:v>
                </c:pt>
                <c:pt idx="367">
                  <c:v>71.55302476</c:v>
                </c:pt>
                <c:pt idx="368">
                  <c:v>71.697345580000004</c:v>
                </c:pt>
                <c:pt idx="369">
                  <c:v>71.349172030000005</c:v>
                </c:pt>
                <c:pt idx="370">
                  <c:v>69.642373449999994</c:v>
                </c:pt>
                <c:pt idx="371">
                  <c:v>70.349555100000003</c:v>
                </c:pt>
                <c:pt idx="372">
                  <c:v>70.542602689999995</c:v>
                </c:pt>
                <c:pt idx="373">
                  <c:v>71.609840399999996</c:v>
                </c:pt>
                <c:pt idx="374">
                  <c:v>72.817183589999999</c:v>
                </c:pt>
                <c:pt idx="375">
                  <c:v>70.900592259999996</c:v>
                </c:pt>
                <c:pt idx="376">
                  <c:v>69.288897149999997</c:v>
                </c:pt>
                <c:pt idx="377">
                  <c:v>68.439115619999995</c:v>
                </c:pt>
                <c:pt idx="378">
                  <c:v>69.133220719999997</c:v>
                </c:pt>
                <c:pt idx="379">
                  <c:v>69.566172289999997</c:v>
                </c:pt>
                <c:pt idx="380">
                  <c:v>70.359241560000001</c:v>
                </c:pt>
                <c:pt idx="381">
                  <c:v>70.201126430000002</c:v>
                </c:pt>
                <c:pt idx="382">
                  <c:v>69.651304109999998</c:v>
                </c:pt>
                <c:pt idx="383">
                  <c:v>70.795029670000005</c:v>
                </c:pt>
                <c:pt idx="384">
                  <c:v>69.643746340000007</c:v>
                </c:pt>
                <c:pt idx="385">
                  <c:v>69.98084686</c:v>
                </c:pt>
                <c:pt idx="386">
                  <c:v>69.689442479999997</c:v>
                </c:pt>
                <c:pt idx="387">
                  <c:v>70.543779939999993</c:v>
                </c:pt>
                <c:pt idx="388">
                  <c:v>71.804696759999999</c:v>
                </c:pt>
                <c:pt idx="389">
                  <c:v>70.616585819999997</c:v>
                </c:pt>
                <c:pt idx="390">
                  <c:v>70.269575369999998</c:v>
                </c:pt>
                <c:pt idx="391">
                  <c:v>70.155562340000003</c:v>
                </c:pt>
                <c:pt idx="392">
                  <c:v>69.213042389999998</c:v>
                </c:pt>
                <c:pt idx="393">
                  <c:v>69.721944239999999</c:v>
                </c:pt>
                <c:pt idx="394">
                  <c:v>70.358374330000004</c:v>
                </c:pt>
                <c:pt idx="395">
                  <c:v>70.711312149999998</c:v>
                </c:pt>
                <c:pt idx="396">
                  <c:v>70.120876089999996</c:v>
                </c:pt>
                <c:pt idx="397">
                  <c:v>69.953324309999999</c:v>
                </c:pt>
                <c:pt idx="398">
                  <c:v>68.788120809999995</c:v>
                </c:pt>
                <c:pt idx="399">
                  <c:v>68.928761120000004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F-4305-8715-3C42ECBC52D1}"/>
            </c:ext>
          </c:extLst>
        </c:ser>
        <c:ser>
          <c:idx val="1"/>
          <c:order val="1"/>
          <c:tx>
            <c:strRef>
              <c:f>'ARMA(2,1)'!$D$1</c:f>
              <c:strCache>
                <c:ptCount val="1"/>
                <c:pt idx="0">
                  <c:v>Yt_pred = 0.03559yt-1 + 0.96yt-2 + et - 0.99et-1 </c:v>
                </c:pt>
              </c:strCache>
            </c:strRef>
          </c:tx>
          <c:spPr>
            <a:ln w="31750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8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78E4-45B1-98A3-4B90CA1DA5B1}"/>
              </c:ext>
            </c:extLst>
          </c:dPt>
          <c:val>
            <c:numRef>
              <c:f>'ARMA(2,1)'!$D$2:$D$401</c:f>
              <c:numCache>
                <c:formatCode>General</c:formatCode>
                <c:ptCount val="400"/>
                <c:pt idx="2">
                  <c:v>68.091636630746905</c:v>
                </c:pt>
                <c:pt idx="3">
                  <c:v>70.566961710483071</c:v>
                </c:pt>
                <c:pt idx="4">
                  <c:v>68.443738544446475</c:v>
                </c:pt>
                <c:pt idx="5">
                  <c:v>69.910960143896489</c:v>
                </c:pt>
                <c:pt idx="6">
                  <c:v>67.237825425820972</c:v>
                </c:pt>
                <c:pt idx="7">
                  <c:v>70.617417854300825</c:v>
                </c:pt>
                <c:pt idx="8">
                  <c:v>66.948215603364474</c:v>
                </c:pt>
                <c:pt idx="9">
                  <c:v>70.499815299736781</c:v>
                </c:pt>
                <c:pt idx="10">
                  <c:v>68.230076323827291</c:v>
                </c:pt>
                <c:pt idx="11">
                  <c:v>69.376581146095063</c:v>
                </c:pt>
                <c:pt idx="12">
                  <c:v>66.348985962945875</c:v>
                </c:pt>
                <c:pt idx="13">
                  <c:v>70.919679728452678</c:v>
                </c:pt>
                <c:pt idx="14">
                  <c:v>70.036380725821047</c:v>
                </c:pt>
                <c:pt idx="15">
                  <c:v>71.848908089536749</c:v>
                </c:pt>
                <c:pt idx="16">
                  <c:v>69.088874268479529</c:v>
                </c:pt>
                <c:pt idx="17">
                  <c:v>71.290165998501863</c:v>
                </c:pt>
                <c:pt idx="18">
                  <c:v>69.016696447317457</c:v>
                </c:pt>
                <c:pt idx="19">
                  <c:v>72.452641932023212</c:v>
                </c:pt>
                <c:pt idx="20">
                  <c:v>67.844091262036827</c:v>
                </c:pt>
                <c:pt idx="21">
                  <c:v>70.884885191084635</c:v>
                </c:pt>
                <c:pt idx="22">
                  <c:v>68.334150689149709</c:v>
                </c:pt>
                <c:pt idx="23">
                  <c:v>70.737326053810094</c:v>
                </c:pt>
                <c:pt idx="24">
                  <c:v>68.218509366678006</c:v>
                </c:pt>
                <c:pt idx="25">
                  <c:v>70.515315580443058</c:v>
                </c:pt>
                <c:pt idx="26">
                  <c:v>67.222477052655677</c:v>
                </c:pt>
                <c:pt idx="27">
                  <c:v>70.558631952993579</c:v>
                </c:pt>
                <c:pt idx="28">
                  <c:v>70.486111160676145</c:v>
                </c:pt>
                <c:pt idx="29">
                  <c:v>72.130024601499102</c:v>
                </c:pt>
                <c:pt idx="30">
                  <c:v>68.874895207259087</c:v>
                </c:pt>
                <c:pt idx="31">
                  <c:v>69.998336429794392</c:v>
                </c:pt>
                <c:pt idx="32">
                  <c:v>68.040872879203448</c:v>
                </c:pt>
                <c:pt idx="33">
                  <c:v>71.24695666686118</c:v>
                </c:pt>
                <c:pt idx="34">
                  <c:v>68.789910431615837</c:v>
                </c:pt>
                <c:pt idx="35">
                  <c:v>70.383461313757621</c:v>
                </c:pt>
                <c:pt idx="36">
                  <c:v>68.886179827963957</c:v>
                </c:pt>
                <c:pt idx="37">
                  <c:v>70.136071548270181</c:v>
                </c:pt>
                <c:pt idx="38">
                  <c:v>68.667164395931721</c:v>
                </c:pt>
                <c:pt idx="39">
                  <c:v>71.758236108457993</c:v>
                </c:pt>
                <c:pt idx="40">
                  <c:v>70.84818954647649</c:v>
                </c:pt>
                <c:pt idx="41">
                  <c:v>71.578745380064376</c:v>
                </c:pt>
                <c:pt idx="42">
                  <c:v>70.211198228892954</c:v>
                </c:pt>
                <c:pt idx="43">
                  <c:v>72.28755532466667</c:v>
                </c:pt>
                <c:pt idx="44">
                  <c:v>68.456296097803389</c:v>
                </c:pt>
                <c:pt idx="45">
                  <c:v>68.790300216237426</c:v>
                </c:pt>
                <c:pt idx="46">
                  <c:v>67.640451407281546</c:v>
                </c:pt>
                <c:pt idx="47">
                  <c:v>71.569463136286672</c:v>
                </c:pt>
                <c:pt idx="48">
                  <c:v>69.751034170254101</c:v>
                </c:pt>
                <c:pt idx="49">
                  <c:v>70.35779085895733</c:v>
                </c:pt>
                <c:pt idx="50">
                  <c:v>70.120378883803653</c:v>
                </c:pt>
                <c:pt idx="51">
                  <c:v>71.700495422026876</c:v>
                </c:pt>
                <c:pt idx="52">
                  <c:v>66.945294320236968</c:v>
                </c:pt>
                <c:pt idx="53">
                  <c:v>69.536944600865183</c:v>
                </c:pt>
                <c:pt idx="54">
                  <c:v>69.39919365109607</c:v>
                </c:pt>
                <c:pt idx="55">
                  <c:v>71.519954748221195</c:v>
                </c:pt>
                <c:pt idx="56">
                  <c:v>69.829822573718005</c:v>
                </c:pt>
                <c:pt idx="57">
                  <c:v>70.838311802017174</c:v>
                </c:pt>
                <c:pt idx="58">
                  <c:v>67.538791468711409</c:v>
                </c:pt>
                <c:pt idx="59">
                  <c:v>69.394937335887803</c:v>
                </c:pt>
                <c:pt idx="60">
                  <c:v>67.721620575626162</c:v>
                </c:pt>
                <c:pt idx="61">
                  <c:v>69.361167575079392</c:v>
                </c:pt>
                <c:pt idx="62">
                  <c:v>67.352093161269991</c:v>
                </c:pt>
                <c:pt idx="63">
                  <c:v>70.556978295409309</c:v>
                </c:pt>
                <c:pt idx="64">
                  <c:v>69.512727927952483</c:v>
                </c:pt>
                <c:pt idx="65">
                  <c:v>70.558472442415749</c:v>
                </c:pt>
                <c:pt idx="66">
                  <c:v>68.16123196657621</c:v>
                </c:pt>
                <c:pt idx="67">
                  <c:v>70.162553324457846</c:v>
                </c:pt>
                <c:pt idx="68">
                  <c:v>70.098375224344522</c:v>
                </c:pt>
                <c:pt idx="69">
                  <c:v>69.319971789818638</c:v>
                </c:pt>
                <c:pt idx="70">
                  <c:v>68.49223868609964</c:v>
                </c:pt>
                <c:pt idx="71">
                  <c:v>69.944915889837247</c:v>
                </c:pt>
                <c:pt idx="72">
                  <c:v>67.10738346848062</c:v>
                </c:pt>
                <c:pt idx="73">
                  <c:v>67.538944794696775</c:v>
                </c:pt>
                <c:pt idx="74">
                  <c:v>67.105635668516385</c:v>
                </c:pt>
                <c:pt idx="75">
                  <c:v>70.397123622827564</c:v>
                </c:pt>
                <c:pt idx="76">
                  <c:v>70.12287265388602</c:v>
                </c:pt>
                <c:pt idx="77">
                  <c:v>70.126700526992437</c:v>
                </c:pt>
                <c:pt idx="78">
                  <c:v>69.794299889432992</c:v>
                </c:pt>
                <c:pt idx="79">
                  <c:v>72.300627617188937</c:v>
                </c:pt>
                <c:pt idx="80">
                  <c:v>70.560845938800654</c:v>
                </c:pt>
                <c:pt idx="81">
                  <c:v>70.076363993696745</c:v>
                </c:pt>
                <c:pt idx="82">
                  <c:v>69.821176856693512</c:v>
                </c:pt>
                <c:pt idx="83">
                  <c:v>71.563699483753226</c:v>
                </c:pt>
                <c:pt idx="84">
                  <c:v>70.713597323832488</c:v>
                </c:pt>
                <c:pt idx="85">
                  <c:v>70.177893700764344</c:v>
                </c:pt>
                <c:pt idx="86">
                  <c:v>65.922614442305402</c:v>
                </c:pt>
                <c:pt idx="87">
                  <c:v>70.664240087814747</c:v>
                </c:pt>
                <c:pt idx="88">
                  <c:v>68.65328917738789</c:v>
                </c:pt>
                <c:pt idx="89">
                  <c:v>70.132270668563478</c:v>
                </c:pt>
                <c:pt idx="90">
                  <c:v>71.546443429885755</c:v>
                </c:pt>
                <c:pt idx="91">
                  <c:v>72.244209504076096</c:v>
                </c:pt>
                <c:pt idx="92">
                  <c:v>70.614929643411855</c:v>
                </c:pt>
                <c:pt idx="93">
                  <c:v>69.115025051536563</c:v>
                </c:pt>
                <c:pt idx="94">
                  <c:v>66.377851161618011</c:v>
                </c:pt>
                <c:pt idx="95">
                  <c:v>68.500836377028079</c:v>
                </c:pt>
                <c:pt idx="96">
                  <c:v>70.173776952187907</c:v>
                </c:pt>
                <c:pt idx="97">
                  <c:v>71.043170859074877</c:v>
                </c:pt>
                <c:pt idx="98">
                  <c:v>68.726044857374674</c:v>
                </c:pt>
                <c:pt idx="99">
                  <c:v>69.976015393048769</c:v>
                </c:pt>
                <c:pt idx="100">
                  <c:v>70.408569979222506</c:v>
                </c:pt>
                <c:pt idx="101">
                  <c:v>69.552622497504501</c:v>
                </c:pt>
                <c:pt idx="102">
                  <c:v>67.45696684198154</c:v>
                </c:pt>
                <c:pt idx="103">
                  <c:v>68.551846085694564</c:v>
                </c:pt>
                <c:pt idx="104">
                  <c:v>70.099437086615879</c:v>
                </c:pt>
                <c:pt idx="105">
                  <c:v>71.366336579947884</c:v>
                </c:pt>
                <c:pt idx="106">
                  <c:v>72.122518826781587</c:v>
                </c:pt>
                <c:pt idx="107">
                  <c:v>72.335574439920919</c:v>
                </c:pt>
                <c:pt idx="108">
                  <c:v>69.954249168775078</c:v>
                </c:pt>
                <c:pt idx="109">
                  <c:v>71.121783425929181</c:v>
                </c:pt>
                <c:pt idx="110">
                  <c:v>70.070682059010409</c:v>
                </c:pt>
                <c:pt idx="111">
                  <c:v>69.579813161917286</c:v>
                </c:pt>
                <c:pt idx="112">
                  <c:v>69.656044615315082</c:v>
                </c:pt>
                <c:pt idx="113">
                  <c:v>69.712155296097677</c:v>
                </c:pt>
                <c:pt idx="114">
                  <c:v>68.953540090786106</c:v>
                </c:pt>
                <c:pt idx="115">
                  <c:v>71.292537214190546</c:v>
                </c:pt>
                <c:pt idx="116">
                  <c:v>70.228449262989074</c:v>
                </c:pt>
                <c:pt idx="117">
                  <c:v>69.464695314661498</c:v>
                </c:pt>
                <c:pt idx="118">
                  <c:v>68.428723531204696</c:v>
                </c:pt>
                <c:pt idx="119">
                  <c:v>70.773652838863043</c:v>
                </c:pt>
                <c:pt idx="120">
                  <c:v>69.59345437226429</c:v>
                </c:pt>
                <c:pt idx="121">
                  <c:v>69.709375917688945</c:v>
                </c:pt>
                <c:pt idx="122">
                  <c:v>68.653206943276032</c:v>
                </c:pt>
                <c:pt idx="123">
                  <c:v>70.043210978998331</c:v>
                </c:pt>
                <c:pt idx="124">
                  <c:v>69.238629940558553</c:v>
                </c:pt>
                <c:pt idx="125">
                  <c:v>68.480648683512825</c:v>
                </c:pt>
                <c:pt idx="126">
                  <c:v>67.69213404412271</c:v>
                </c:pt>
                <c:pt idx="127">
                  <c:v>68.655062530425425</c:v>
                </c:pt>
                <c:pt idx="128">
                  <c:v>70.460828809688238</c:v>
                </c:pt>
                <c:pt idx="129">
                  <c:v>71.921268319644952</c:v>
                </c:pt>
                <c:pt idx="130">
                  <c:v>70.951999882402291</c:v>
                </c:pt>
                <c:pt idx="131">
                  <c:v>69.886095346142838</c:v>
                </c:pt>
                <c:pt idx="132">
                  <c:v>68.21579245722269</c:v>
                </c:pt>
                <c:pt idx="133">
                  <c:v>68.859854149988436</c:v>
                </c:pt>
                <c:pt idx="134">
                  <c:v>68.171824932014232</c:v>
                </c:pt>
                <c:pt idx="135">
                  <c:v>72.242903881181604</c:v>
                </c:pt>
                <c:pt idx="136">
                  <c:v>68.804850276090121</c:v>
                </c:pt>
                <c:pt idx="137">
                  <c:v>69.875332854023469</c:v>
                </c:pt>
                <c:pt idx="138">
                  <c:v>68.039037918841373</c:v>
                </c:pt>
                <c:pt idx="139">
                  <c:v>69.526808690498939</c:v>
                </c:pt>
                <c:pt idx="140">
                  <c:v>68.315503232252837</c:v>
                </c:pt>
                <c:pt idx="141">
                  <c:v>68.727904882231385</c:v>
                </c:pt>
                <c:pt idx="142">
                  <c:v>67.625425139125724</c:v>
                </c:pt>
                <c:pt idx="143">
                  <c:v>71.541601573975527</c:v>
                </c:pt>
                <c:pt idx="144">
                  <c:v>70.410767739979619</c:v>
                </c:pt>
                <c:pt idx="145">
                  <c:v>69.86922477560077</c:v>
                </c:pt>
                <c:pt idx="146">
                  <c:v>69.332757829847736</c:v>
                </c:pt>
                <c:pt idx="147">
                  <c:v>70.427858147946139</c:v>
                </c:pt>
                <c:pt idx="148">
                  <c:v>70.208111128335631</c:v>
                </c:pt>
                <c:pt idx="149">
                  <c:v>68.847000906844627</c:v>
                </c:pt>
                <c:pt idx="150">
                  <c:v>68.727777189210215</c:v>
                </c:pt>
                <c:pt idx="151">
                  <c:v>70.963214004383488</c:v>
                </c:pt>
                <c:pt idx="152">
                  <c:v>68.414332219966653</c:v>
                </c:pt>
                <c:pt idx="153">
                  <c:v>69.927885768961517</c:v>
                </c:pt>
                <c:pt idx="154">
                  <c:v>71.229627989675194</c:v>
                </c:pt>
                <c:pt idx="155">
                  <c:v>71.367193231413864</c:v>
                </c:pt>
                <c:pt idx="156">
                  <c:v>70.46179551716817</c:v>
                </c:pt>
                <c:pt idx="157">
                  <c:v>71.116845095950012</c:v>
                </c:pt>
                <c:pt idx="158">
                  <c:v>68.996188773910788</c:v>
                </c:pt>
                <c:pt idx="159">
                  <c:v>69.728174462362617</c:v>
                </c:pt>
                <c:pt idx="160">
                  <c:v>67.694180423736711</c:v>
                </c:pt>
                <c:pt idx="161">
                  <c:v>68.93422805654896</c:v>
                </c:pt>
                <c:pt idx="162">
                  <c:v>69.441618304014227</c:v>
                </c:pt>
                <c:pt idx="163">
                  <c:v>71.3698354167459</c:v>
                </c:pt>
                <c:pt idx="164">
                  <c:v>70.121462662715359</c:v>
                </c:pt>
                <c:pt idx="165">
                  <c:v>71.067146293211593</c:v>
                </c:pt>
                <c:pt idx="166">
                  <c:v>68.556646642524839</c:v>
                </c:pt>
                <c:pt idx="167">
                  <c:v>69.461394732140207</c:v>
                </c:pt>
                <c:pt idx="168">
                  <c:v>69.174821081888282</c:v>
                </c:pt>
                <c:pt idx="169">
                  <c:v>72.291486271805695</c:v>
                </c:pt>
                <c:pt idx="170">
                  <c:v>70.363553927192655</c:v>
                </c:pt>
                <c:pt idx="171">
                  <c:v>69.843512609575271</c:v>
                </c:pt>
                <c:pt idx="172">
                  <c:v>68.814095143279374</c:v>
                </c:pt>
                <c:pt idx="173">
                  <c:v>69.170293698036801</c:v>
                </c:pt>
                <c:pt idx="174">
                  <c:v>69.120653694630676</c:v>
                </c:pt>
                <c:pt idx="175">
                  <c:v>70.045781862905429</c:v>
                </c:pt>
                <c:pt idx="176">
                  <c:v>67.566329407134816</c:v>
                </c:pt>
                <c:pt idx="177">
                  <c:v>69.227907026540606</c:v>
                </c:pt>
                <c:pt idx="178">
                  <c:v>68.974017784470789</c:v>
                </c:pt>
                <c:pt idx="179">
                  <c:v>68.700809514216516</c:v>
                </c:pt>
                <c:pt idx="180">
                  <c:v>68.58228864332655</c:v>
                </c:pt>
                <c:pt idx="181">
                  <c:v>71.722591941624415</c:v>
                </c:pt>
                <c:pt idx="182">
                  <c:v>71.045577213376717</c:v>
                </c:pt>
                <c:pt idx="183">
                  <c:v>71.431675195621551</c:v>
                </c:pt>
                <c:pt idx="184">
                  <c:v>68.232971044813965</c:v>
                </c:pt>
                <c:pt idx="185">
                  <c:v>69.784692712107471</c:v>
                </c:pt>
                <c:pt idx="186">
                  <c:v>69.533236638160403</c:v>
                </c:pt>
                <c:pt idx="187">
                  <c:v>71.112550070673294</c:v>
                </c:pt>
                <c:pt idx="188">
                  <c:v>70.218060426437631</c:v>
                </c:pt>
                <c:pt idx="189">
                  <c:v>69.175730840403247</c:v>
                </c:pt>
                <c:pt idx="190">
                  <c:v>68.491207611583988</c:v>
                </c:pt>
                <c:pt idx="191">
                  <c:v>69.248230390164636</c:v>
                </c:pt>
                <c:pt idx="192">
                  <c:v>69.099401357749798</c:v>
                </c:pt>
                <c:pt idx="193">
                  <c:v>69.393788404369204</c:v>
                </c:pt>
                <c:pt idx="194">
                  <c:v>70.463383689301494</c:v>
                </c:pt>
                <c:pt idx="195">
                  <c:v>70.071460011833111</c:v>
                </c:pt>
                <c:pt idx="196">
                  <c:v>68.325760670621207</c:v>
                </c:pt>
                <c:pt idx="197">
                  <c:v>69.533758226401318</c:v>
                </c:pt>
                <c:pt idx="198">
                  <c:v>68.419235224275084</c:v>
                </c:pt>
                <c:pt idx="199">
                  <c:v>69.291036723425265</c:v>
                </c:pt>
                <c:pt idx="200">
                  <c:v>68.475254477748194</c:v>
                </c:pt>
                <c:pt idx="201">
                  <c:v>71.290130633713289</c:v>
                </c:pt>
                <c:pt idx="202">
                  <c:v>71.203683687748637</c:v>
                </c:pt>
                <c:pt idx="203">
                  <c:v>70.842052702426443</c:v>
                </c:pt>
                <c:pt idx="204">
                  <c:v>68.969824618004722</c:v>
                </c:pt>
                <c:pt idx="205">
                  <c:v>70.665175160343622</c:v>
                </c:pt>
                <c:pt idx="206">
                  <c:v>70.290384637331513</c:v>
                </c:pt>
                <c:pt idx="207">
                  <c:v>71.071977058787112</c:v>
                </c:pt>
                <c:pt idx="208">
                  <c:v>69.704922822463971</c:v>
                </c:pt>
                <c:pt idx="209">
                  <c:v>68.371330740164069</c:v>
                </c:pt>
                <c:pt idx="210">
                  <c:v>68.277916322281257</c:v>
                </c:pt>
                <c:pt idx="211">
                  <c:v>69.410248113873948</c:v>
                </c:pt>
                <c:pt idx="212">
                  <c:v>70.141707318747194</c:v>
                </c:pt>
                <c:pt idx="213">
                  <c:v>71.723704485364877</c:v>
                </c:pt>
                <c:pt idx="214">
                  <c:v>69.625064234051663</c:v>
                </c:pt>
                <c:pt idx="215">
                  <c:v>70.243555203778456</c:v>
                </c:pt>
                <c:pt idx="216">
                  <c:v>71.296702092328616</c:v>
                </c:pt>
                <c:pt idx="217">
                  <c:v>70.442801686924568</c:v>
                </c:pt>
                <c:pt idx="218">
                  <c:v>71.004069762720491</c:v>
                </c:pt>
                <c:pt idx="219">
                  <c:v>69.877627322053215</c:v>
                </c:pt>
                <c:pt idx="220">
                  <c:v>69.200384644338513</c:v>
                </c:pt>
                <c:pt idx="221">
                  <c:v>69.77218423838697</c:v>
                </c:pt>
                <c:pt idx="222">
                  <c:v>69.675109286185801</c:v>
                </c:pt>
                <c:pt idx="223">
                  <c:v>69.233050029086755</c:v>
                </c:pt>
                <c:pt idx="224">
                  <c:v>68.644681501896912</c:v>
                </c:pt>
                <c:pt idx="225">
                  <c:v>68.931150438972566</c:v>
                </c:pt>
                <c:pt idx="226">
                  <c:v>69.72439992887125</c:v>
                </c:pt>
                <c:pt idx="227">
                  <c:v>70.632046652385256</c:v>
                </c:pt>
                <c:pt idx="228">
                  <c:v>72.373573661375701</c:v>
                </c:pt>
                <c:pt idx="229">
                  <c:v>72.668870381151166</c:v>
                </c:pt>
                <c:pt idx="230">
                  <c:v>70.046422668522226</c:v>
                </c:pt>
                <c:pt idx="231">
                  <c:v>69.689235190731694</c:v>
                </c:pt>
                <c:pt idx="232">
                  <c:v>70.460611097754423</c:v>
                </c:pt>
                <c:pt idx="233">
                  <c:v>70.48773747875272</c:v>
                </c:pt>
                <c:pt idx="234">
                  <c:v>69.779363242317913</c:v>
                </c:pt>
                <c:pt idx="235">
                  <c:v>69.862590483999654</c:v>
                </c:pt>
                <c:pt idx="236">
                  <c:v>70.566756653759342</c:v>
                </c:pt>
                <c:pt idx="237">
                  <c:v>69.55056214596334</c:v>
                </c:pt>
                <c:pt idx="238">
                  <c:v>69.018236788571997</c:v>
                </c:pt>
                <c:pt idx="239">
                  <c:v>70.03616503544653</c:v>
                </c:pt>
                <c:pt idx="240">
                  <c:v>70.385683115149419</c:v>
                </c:pt>
                <c:pt idx="241">
                  <c:v>70.480412652609076</c:v>
                </c:pt>
                <c:pt idx="242">
                  <c:v>69.549933964356399</c:v>
                </c:pt>
                <c:pt idx="243">
                  <c:v>70.628543044881241</c:v>
                </c:pt>
                <c:pt idx="244">
                  <c:v>72.385884535452078</c:v>
                </c:pt>
                <c:pt idx="245">
                  <c:v>71.637205482107234</c:v>
                </c:pt>
                <c:pt idx="246">
                  <c:v>69.852211409915128</c:v>
                </c:pt>
                <c:pt idx="247">
                  <c:v>70.203908303590907</c:v>
                </c:pt>
                <c:pt idx="248">
                  <c:v>69.347267521439093</c:v>
                </c:pt>
                <c:pt idx="249">
                  <c:v>68.855875672723499</c:v>
                </c:pt>
                <c:pt idx="250">
                  <c:v>69.291599970301334</c:v>
                </c:pt>
                <c:pt idx="251">
                  <c:v>67.300281008774078</c:v>
                </c:pt>
                <c:pt idx="252">
                  <c:v>67.30537100443307</c:v>
                </c:pt>
                <c:pt idx="253">
                  <c:v>68.786834182284949</c:v>
                </c:pt>
                <c:pt idx="254">
                  <c:v>68.5445748199989</c:v>
                </c:pt>
                <c:pt idx="255">
                  <c:v>68.436838137920986</c:v>
                </c:pt>
                <c:pt idx="256">
                  <c:v>68.886696268273639</c:v>
                </c:pt>
                <c:pt idx="257">
                  <c:v>68.0865029689745</c:v>
                </c:pt>
                <c:pt idx="258">
                  <c:v>68.673411761419032</c:v>
                </c:pt>
                <c:pt idx="259">
                  <c:v>69.130565840671039</c:v>
                </c:pt>
                <c:pt idx="260">
                  <c:v>69.813476970093959</c:v>
                </c:pt>
                <c:pt idx="261">
                  <c:v>71.203145647632468</c:v>
                </c:pt>
                <c:pt idx="262">
                  <c:v>70.80300284058913</c:v>
                </c:pt>
                <c:pt idx="263">
                  <c:v>70.067066287184844</c:v>
                </c:pt>
                <c:pt idx="264">
                  <c:v>69.758721764418908</c:v>
                </c:pt>
                <c:pt idx="265">
                  <c:v>69.987922187383887</c:v>
                </c:pt>
                <c:pt idx="266">
                  <c:v>68.873305925446459</c:v>
                </c:pt>
                <c:pt idx="267">
                  <c:v>69.197647914530819</c:v>
                </c:pt>
                <c:pt idx="268">
                  <c:v>69.975634238189599</c:v>
                </c:pt>
                <c:pt idx="269">
                  <c:v>68.782712731307598</c:v>
                </c:pt>
                <c:pt idx="270">
                  <c:v>70.061662465072885</c:v>
                </c:pt>
                <c:pt idx="271">
                  <c:v>71.349291068619365</c:v>
                </c:pt>
                <c:pt idx="272">
                  <c:v>70.027937656736228</c:v>
                </c:pt>
                <c:pt idx="273">
                  <c:v>69.297757558528616</c:v>
                </c:pt>
                <c:pt idx="274">
                  <c:v>68.532911263662569</c:v>
                </c:pt>
                <c:pt idx="275">
                  <c:v>70.01553274246595</c:v>
                </c:pt>
                <c:pt idx="276">
                  <c:v>69.138120445690092</c:v>
                </c:pt>
                <c:pt idx="277">
                  <c:v>69.313391415715415</c:v>
                </c:pt>
                <c:pt idx="278">
                  <c:v>68.699203935516934</c:v>
                </c:pt>
                <c:pt idx="279">
                  <c:v>69.573030853110424</c:v>
                </c:pt>
                <c:pt idx="280">
                  <c:v>67.980689175779773</c:v>
                </c:pt>
                <c:pt idx="281">
                  <c:v>70.470194413739435</c:v>
                </c:pt>
                <c:pt idx="282">
                  <c:v>69.417779110084851</c:v>
                </c:pt>
                <c:pt idx="283">
                  <c:v>69.884353844172111</c:v>
                </c:pt>
                <c:pt idx="284">
                  <c:v>69.357728707358007</c:v>
                </c:pt>
                <c:pt idx="285">
                  <c:v>69.187676299976459</c:v>
                </c:pt>
                <c:pt idx="286">
                  <c:v>68.304107030881895</c:v>
                </c:pt>
                <c:pt idx="287">
                  <c:v>70.505331719452727</c:v>
                </c:pt>
                <c:pt idx="288">
                  <c:v>69.68934909948571</c:v>
                </c:pt>
                <c:pt idx="289">
                  <c:v>70.330806047709842</c:v>
                </c:pt>
                <c:pt idx="290">
                  <c:v>68.85179694807735</c:v>
                </c:pt>
                <c:pt idx="291">
                  <c:v>68.988049668207623</c:v>
                </c:pt>
                <c:pt idx="292">
                  <c:v>69.605787311906852</c:v>
                </c:pt>
                <c:pt idx="293">
                  <c:v>71.388730771734203</c:v>
                </c:pt>
                <c:pt idx="294">
                  <c:v>70.140345126619437</c:v>
                </c:pt>
                <c:pt idx="295">
                  <c:v>68.627932868427465</c:v>
                </c:pt>
                <c:pt idx="296">
                  <c:v>70.631865311378306</c:v>
                </c:pt>
                <c:pt idx="297">
                  <c:v>70.131981721085666</c:v>
                </c:pt>
                <c:pt idx="298">
                  <c:v>67.922385505196075</c:v>
                </c:pt>
                <c:pt idx="299">
                  <c:v>71.626210287820285</c:v>
                </c:pt>
                <c:pt idx="300">
                  <c:v>70.575946880217415</c:v>
                </c:pt>
                <c:pt idx="301">
                  <c:v>68.767438613422854</c:v>
                </c:pt>
                <c:pt idx="302">
                  <c:v>67.846760491057694</c:v>
                </c:pt>
                <c:pt idx="303">
                  <c:v>69.811092328032288</c:v>
                </c:pt>
                <c:pt idx="304">
                  <c:v>70.138627035144253</c:v>
                </c:pt>
                <c:pt idx="305">
                  <c:v>69.622992877463091</c:v>
                </c:pt>
                <c:pt idx="306">
                  <c:v>71.079511767569045</c:v>
                </c:pt>
                <c:pt idx="307">
                  <c:v>70.425775840329962</c:v>
                </c:pt>
                <c:pt idx="308">
                  <c:v>68.331485790648728</c:v>
                </c:pt>
                <c:pt idx="309">
                  <c:v>70.087172059194046</c:v>
                </c:pt>
                <c:pt idx="310">
                  <c:v>71.418253518216176</c:v>
                </c:pt>
                <c:pt idx="311">
                  <c:v>70.189456016181481</c:v>
                </c:pt>
                <c:pt idx="312">
                  <c:v>67.87909744337864</c:v>
                </c:pt>
                <c:pt idx="313">
                  <c:v>69.957054551639644</c:v>
                </c:pt>
                <c:pt idx="314">
                  <c:v>68.010351048733639</c:v>
                </c:pt>
                <c:pt idx="315">
                  <c:v>67.953713614547496</c:v>
                </c:pt>
                <c:pt idx="316">
                  <c:v>69.824406000261291</c:v>
                </c:pt>
                <c:pt idx="317">
                  <c:v>70.713688488409019</c:v>
                </c:pt>
                <c:pt idx="318">
                  <c:v>69.737863962206973</c:v>
                </c:pt>
                <c:pt idx="319">
                  <c:v>70.256584215004693</c:v>
                </c:pt>
                <c:pt idx="320">
                  <c:v>69.576828700426162</c:v>
                </c:pt>
                <c:pt idx="321">
                  <c:v>68.6236534119449</c:v>
                </c:pt>
                <c:pt idx="322">
                  <c:v>70.182058156263352</c:v>
                </c:pt>
                <c:pt idx="323">
                  <c:v>72.017896792024374</c:v>
                </c:pt>
                <c:pt idx="324">
                  <c:v>70.941830799805871</c:v>
                </c:pt>
                <c:pt idx="325">
                  <c:v>70.199194628535679</c:v>
                </c:pt>
                <c:pt idx="326">
                  <c:v>71.82663146799068</c:v>
                </c:pt>
                <c:pt idx="327">
                  <c:v>70.812896256827216</c:v>
                </c:pt>
                <c:pt idx="328">
                  <c:v>69.413154220633345</c:v>
                </c:pt>
                <c:pt idx="329">
                  <c:v>69.83387622980328</c:v>
                </c:pt>
                <c:pt idx="330">
                  <c:v>71.293610508976059</c:v>
                </c:pt>
                <c:pt idx="331">
                  <c:v>72.450853542640289</c:v>
                </c:pt>
                <c:pt idx="332">
                  <c:v>70.521607780119197</c:v>
                </c:pt>
                <c:pt idx="333">
                  <c:v>69.984823303080191</c:v>
                </c:pt>
                <c:pt idx="334">
                  <c:v>68.097927468046706</c:v>
                </c:pt>
                <c:pt idx="335">
                  <c:v>68.723419117057077</c:v>
                </c:pt>
                <c:pt idx="336">
                  <c:v>68.565784207130577</c:v>
                </c:pt>
                <c:pt idx="337">
                  <c:v>68.693579564864706</c:v>
                </c:pt>
                <c:pt idx="338">
                  <c:v>71.00894883114124</c:v>
                </c:pt>
                <c:pt idx="339">
                  <c:v>70.234046809046774</c:v>
                </c:pt>
                <c:pt idx="340">
                  <c:v>69.07146467648468</c:v>
                </c:pt>
                <c:pt idx="341">
                  <c:v>69.780059920633178</c:v>
                </c:pt>
                <c:pt idx="342">
                  <c:v>71.209436792931953</c:v>
                </c:pt>
                <c:pt idx="343">
                  <c:v>71.262681381832266</c:v>
                </c:pt>
                <c:pt idx="344">
                  <c:v>73.004198411924264</c:v>
                </c:pt>
                <c:pt idx="345">
                  <c:v>71.196700395227182</c:v>
                </c:pt>
                <c:pt idx="346">
                  <c:v>70.019070542160193</c:v>
                </c:pt>
                <c:pt idx="347">
                  <c:v>69.767076556374022</c:v>
                </c:pt>
                <c:pt idx="348">
                  <c:v>71.261285814537729</c:v>
                </c:pt>
                <c:pt idx="349">
                  <c:v>71.115731693344344</c:v>
                </c:pt>
                <c:pt idx="350">
                  <c:v>70.156516309774872</c:v>
                </c:pt>
                <c:pt idx="351">
                  <c:v>68.592976533938469</c:v>
                </c:pt>
                <c:pt idx="352">
                  <c:v>69.388402344571205</c:v>
                </c:pt>
                <c:pt idx="353">
                  <c:v>71.234153800711681</c:v>
                </c:pt>
                <c:pt idx="354">
                  <c:v>70.465073846061429</c:v>
                </c:pt>
                <c:pt idx="355">
                  <c:v>70.295529687325782</c:v>
                </c:pt>
                <c:pt idx="356">
                  <c:v>70.199074040757367</c:v>
                </c:pt>
                <c:pt idx="357">
                  <c:v>70.776948918455204</c:v>
                </c:pt>
                <c:pt idx="358">
                  <c:v>69.455286857279546</c:v>
                </c:pt>
                <c:pt idx="359">
                  <c:v>71.799780259610756</c:v>
                </c:pt>
                <c:pt idx="360">
                  <c:v>69.631982518028252</c:v>
                </c:pt>
                <c:pt idx="361">
                  <c:v>69.015451812503841</c:v>
                </c:pt>
                <c:pt idx="362">
                  <c:v>70.136321198083593</c:v>
                </c:pt>
                <c:pt idx="363">
                  <c:v>70.755484168949422</c:v>
                </c:pt>
                <c:pt idx="364">
                  <c:v>70.957849767067074</c:v>
                </c:pt>
                <c:pt idx="365">
                  <c:v>69.879962659505892</c:v>
                </c:pt>
                <c:pt idx="366">
                  <c:v>69.334976112083055</c:v>
                </c:pt>
                <c:pt idx="367">
                  <c:v>69.664229176139585</c:v>
                </c:pt>
                <c:pt idx="368">
                  <c:v>71.376154358430199</c:v>
                </c:pt>
                <c:pt idx="369">
                  <c:v>71.560591608146296</c:v>
                </c:pt>
                <c:pt idx="370">
                  <c:v>71.159463406982866</c:v>
                </c:pt>
                <c:pt idx="371">
                  <c:v>69.471858162472444</c:v>
                </c:pt>
                <c:pt idx="372">
                  <c:v>70.229339146161266</c:v>
                </c:pt>
                <c:pt idx="373">
                  <c:v>70.356315034137438</c:v>
                </c:pt>
                <c:pt idx="374">
                  <c:v>71.510482914439933</c:v>
                </c:pt>
                <c:pt idx="375">
                  <c:v>72.63064401677255</c:v>
                </c:pt>
                <c:pt idx="376">
                  <c:v>70.715097085728573</c:v>
                </c:pt>
                <c:pt idx="377">
                  <c:v>69.118622482797207</c:v>
                </c:pt>
                <c:pt idx="378">
                  <c:v>68.280377594746554</c:v>
                </c:pt>
                <c:pt idx="379">
                  <c:v>69.006317014625708</c:v>
                </c:pt>
                <c:pt idx="380">
                  <c:v>69.398008685621633</c:v>
                </c:pt>
                <c:pt idx="381">
                  <c:v>70.239231351154984</c:v>
                </c:pt>
                <c:pt idx="382">
                  <c:v>70.005606115300282</c:v>
                </c:pt>
                <c:pt idx="383">
                  <c:v>69.521212300827614</c:v>
                </c:pt>
                <c:pt idx="384">
                  <c:v>70.645926247035959</c:v>
                </c:pt>
                <c:pt idx="385">
                  <c:v>69.449691307475007</c:v>
                </c:pt>
                <c:pt idx="386">
                  <c:v>69.874458823147137</c:v>
                </c:pt>
                <c:pt idx="387">
                  <c:v>69.478694063747525</c:v>
                </c:pt>
                <c:pt idx="388">
                  <c:v>70.466952926354537</c:v>
                </c:pt>
                <c:pt idx="389">
                  <c:v>71.601924295397396</c:v>
                </c:pt>
                <c:pt idx="390">
                  <c:v>70.470268088290368</c:v>
                </c:pt>
                <c:pt idx="391">
                  <c:v>70.09413078351082</c:v>
                </c:pt>
                <c:pt idx="392">
                  <c:v>70.016446059804878</c:v>
                </c:pt>
                <c:pt idx="393">
                  <c:v>69.017262391953267</c:v>
                </c:pt>
                <c:pt idx="394">
                  <c:v>69.623559719467863</c:v>
                </c:pt>
                <c:pt idx="395">
                  <c:v>70.164587477231521</c:v>
                </c:pt>
                <c:pt idx="396">
                  <c:v>70.601912382259286</c:v>
                </c:pt>
                <c:pt idx="397">
                  <c:v>69.902235714706407</c:v>
                </c:pt>
                <c:pt idx="398">
                  <c:v>69.85625756793354</c:v>
                </c:pt>
                <c:pt idx="399">
                  <c:v>68.545905166873695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BF-4305-8715-3C42ECBC5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670191"/>
        <c:axId val="1120670671"/>
      </c:lineChart>
      <c:catAx>
        <c:axId val="11206701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70671"/>
        <c:crosses val="autoZero"/>
        <c:auto val="1"/>
        <c:lblAlgn val="ctr"/>
        <c:lblOffset val="100"/>
        <c:noMultiLvlLbl val="0"/>
      </c:catAx>
      <c:valAx>
        <c:axId val="11206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7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AR(2) MA(0)</a:t>
            </a:r>
            <a:endParaRPr lang="id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'AR(2) MA(0)'!$C$1</c:f>
              <c:strCache>
                <c:ptCount val="1"/>
                <c:pt idx="0">
                  <c:v>data (Yt aktual)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77000"/>
                </a:schemeClr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val>
            <c:numRef>
              <c:f>'AR(2) MA(0)'!$C$2:$C$401</c:f>
              <c:numCache>
                <c:formatCode>General</c:formatCode>
                <c:ptCount val="400"/>
                <c:pt idx="0">
                  <c:v>68.346715680000003</c:v>
                </c:pt>
                <c:pt idx="1">
                  <c:v>69.648484909999993</c:v>
                </c:pt>
                <c:pt idx="2">
                  <c:v>69.340707750000007</c:v>
                </c:pt>
                <c:pt idx="3">
                  <c:v>69.947982330000002</c:v>
                </c:pt>
                <c:pt idx="4">
                  <c:v>68.760614149999995</c:v>
                </c:pt>
                <c:pt idx="5">
                  <c:v>68.681916150000006</c:v>
                </c:pt>
                <c:pt idx="6">
                  <c:v>69.470476039999994</c:v>
                </c:pt>
                <c:pt idx="7">
                  <c:v>68.417010970000007</c:v>
                </c:pt>
                <c:pt idx="8">
                  <c:v>69.324211640000001</c:v>
                </c:pt>
                <c:pt idx="9">
                  <c:v>69.690276130000001</c:v>
                </c:pt>
                <c:pt idx="10">
                  <c:v>68.274545989999993</c:v>
                </c:pt>
                <c:pt idx="11">
                  <c:v>67.754401999999999</c:v>
                </c:pt>
                <c:pt idx="12">
                  <c:v>69.775397490000003</c:v>
                </c:pt>
                <c:pt idx="13">
                  <c:v>71.434473879999999</c:v>
                </c:pt>
                <c:pt idx="14">
                  <c:v>70.796156440000004</c:v>
                </c:pt>
                <c:pt idx="15">
                  <c:v>70.452113510000004</c:v>
                </c:pt>
                <c:pt idx="16">
                  <c:v>70.256264740000006</c:v>
                </c:pt>
                <c:pt idx="17">
                  <c:v>70.347747769999998</c:v>
                </c:pt>
                <c:pt idx="18">
                  <c:v>71.417753250000004</c:v>
                </c:pt>
                <c:pt idx="19">
                  <c:v>69.239329220000002</c:v>
                </c:pt>
                <c:pt idx="20">
                  <c:v>69.794732289999999</c:v>
                </c:pt>
                <c:pt idx="21">
                  <c:v>69.723031649999996</c:v>
                </c:pt>
                <c:pt idx="22">
                  <c:v>69.671140370000003</c:v>
                </c:pt>
                <c:pt idx="23">
                  <c:v>69.583524999999995</c:v>
                </c:pt>
                <c:pt idx="24">
                  <c:v>69.473625769999998</c:v>
                </c:pt>
                <c:pt idx="25">
                  <c:v>68.582921769999999</c:v>
                </c:pt>
                <c:pt idx="26">
                  <c:v>69.491004529999998</c:v>
                </c:pt>
                <c:pt idx="27">
                  <c:v>71.790669219999998</c:v>
                </c:pt>
                <c:pt idx="28">
                  <c:v>71.170967149999996</c:v>
                </c:pt>
                <c:pt idx="29">
                  <c:v>70.163994479999999</c:v>
                </c:pt>
                <c:pt idx="30">
                  <c:v>69.059807509999999</c:v>
                </c:pt>
                <c:pt idx="31">
                  <c:v>69.269211609999999</c:v>
                </c:pt>
                <c:pt idx="32">
                  <c:v>70.309751140000003</c:v>
                </c:pt>
                <c:pt idx="33">
                  <c:v>70.034844759999999</c:v>
                </c:pt>
                <c:pt idx="34">
                  <c:v>69.474177470000001</c:v>
                </c:pt>
                <c:pt idx="35">
                  <c:v>70.077317600000001</c:v>
                </c:pt>
                <c:pt idx="36">
                  <c:v>69.286132550000005</c:v>
                </c:pt>
                <c:pt idx="37">
                  <c:v>69.800980879999997</c:v>
                </c:pt>
                <c:pt idx="38">
                  <c:v>70.915070560000004</c:v>
                </c:pt>
                <c:pt idx="39">
                  <c:v>71.968696609999995</c:v>
                </c:pt>
                <c:pt idx="40">
                  <c:v>70.816314790000007</c:v>
                </c:pt>
                <c:pt idx="41">
                  <c:v>71.266777129999994</c:v>
                </c:pt>
                <c:pt idx="42">
                  <c:v>71.54958173</c:v>
                </c:pt>
                <c:pt idx="43">
                  <c:v>69.553503259999999</c:v>
                </c:pt>
                <c:pt idx="44">
                  <c:v>68.049288919999995</c:v>
                </c:pt>
                <c:pt idx="45">
                  <c:v>68.658558740000004</c:v>
                </c:pt>
                <c:pt idx="46">
                  <c:v>70.809284059999996</c:v>
                </c:pt>
                <c:pt idx="47">
                  <c:v>70.81571581</c:v>
                </c:pt>
                <c:pt idx="48">
                  <c:v>69.645986710000003</c:v>
                </c:pt>
                <c:pt idx="49">
                  <c:v>71.095120460000004</c:v>
                </c:pt>
                <c:pt idx="50">
                  <c:v>71.050180749999996</c:v>
                </c:pt>
                <c:pt idx="51">
                  <c:v>67.980978039999997</c:v>
                </c:pt>
                <c:pt idx="52">
                  <c:v>68.790693219999994</c:v>
                </c:pt>
                <c:pt idx="53">
                  <c:v>70.400163140000004</c:v>
                </c:pt>
                <c:pt idx="54">
                  <c:v>70.828498569999994</c:v>
                </c:pt>
                <c:pt idx="55">
                  <c:v>70.826762299999999</c:v>
                </c:pt>
                <c:pt idx="56">
                  <c:v>70.180232200000006</c:v>
                </c:pt>
                <c:pt idx="57">
                  <c:v>68.541714760000005</c:v>
                </c:pt>
                <c:pt idx="58">
                  <c:v>68.700255189999993</c:v>
                </c:pt>
                <c:pt idx="59">
                  <c:v>68.71202289</c:v>
                </c:pt>
                <c:pt idx="60">
                  <c:v>68.684396269999993</c:v>
                </c:pt>
                <c:pt idx="61">
                  <c:v>68.333962540000002</c:v>
                </c:pt>
                <c:pt idx="62">
                  <c:v>69.847547739999996</c:v>
                </c:pt>
                <c:pt idx="63">
                  <c:v>70.506236029999997</c:v>
                </c:pt>
                <c:pt idx="64">
                  <c:v>69.901311930000006</c:v>
                </c:pt>
                <c:pt idx="65">
                  <c:v>69.139578420000007</c:v>
                </c:pt>
                <c:pt idx="66">
                  <c:v>69.489930369999996</c:v>
                </c:pt>
                <c:pt idx="67">
                  <c:v>71.031279420000004</c:v>
                </c:pt>
                <c:pt idx="68">
                  <c:v>68.767572830000006</c:v>
                </c:pt>
                <c:pt idx="69">
                  <c:v>69.328036389999994</c:v>
                </c:pt>
                <c:pt idx="70">
                  <c:v>69.420838009999997</c:v>
                </c:pt>
                <c:pt idx="71">
                  <c:v>67.969506050000007</c:v>
                </c:pt>
                <c:pt idx="72">
                  <c:v>67.009749139999997</c:v>
                </c:pt>
                <c:pt idx="73">
                  <c:v>67.902214180000001</c:v>
                </c:pt>
                <c:pt idx="74">
                  <c:v>69.857913319999994</c:v>
                </c:pt>
                <c:pt idx="75">
                  <c:v>70.937146670000004</c:v>
                </c:pt>
                <c:pt idx="76">
                  <c:v>69.665932440000006</c:v>
                </c:pt>
                <c:pt idx="77">
                  <c:v>70.535436450000006</c:v>
                </c:pt>
                <c:pt idx="78">
                  <c:v>71.844465639999996</c:v>
                </c:pt>
                <c:pt idx="79">
                  <c:v>71.342135029999994</c:v>
                </c:pt>
                <c:pt idx="80">
                  <c:v>69.66053866</c:v>
                </c:pt>
                <c:pt idx="81">
                  <c:v>70.518101869999995</c:v>
                </c:pt>
                <c:pt idx="82">
                  <c:v>71.168095219999998</c:v>
                </c:pt>
                <c:pt idx="83">
                  <c:v>71.412833980000002</c:v>
                </c:pt>
                <c:pt idx="84">
                  <c:v>69.840808150000001</c:v>
                </c:pt>
                <c:pt idx="85">
                  <c:v>66.646080190000006</c:v>
                </c:pt>
                <c:pt idx="86">
                  <c:v>70.152196689999997</c:v>
                </c:pt>
                <c:pt idx="87">
                  <c:v>69.486615549999996</c:v>
                </c:pt>
                <c:pt idx="88">
                  <c:v>69.610542249999995</c:v>
                </c:pt>
                <c:pt idx="89">
                  <c:v>72.301086040000001</c:v>
                </c:pt>
                <c:pt idx="90">
                  <c:v>71.828065699999996</c:v>
                </c:pt>
                <c:pt idx="91">
                  <c:v>71.355760079999996</c:v>
                </c:pt>
                <c:pt idx="92">
                  <c:v>68.762639770000007</c:v>
                </c:pt>
                <c:pt idx="93">
                  <c:v>67.073188880000004</c:v>
                </c:pt>
                <c:pt idx="94">
                  <c:v>68.082418610000005</c:v>
                </c:pt>
                <c:pt idx="95">
                  <c:v>70.818244230000005</c:v>
                </c:pt>
                <c:pt idx="96">
                  <c:v>70.719971509999993</c:v>
                </c:pt>
                <c:pt idx="97">
                  <c:v>69.391873320000002</c:v>
                </c:pt>
                <c:pt idx="98">
                  <c:v>69.617099830000001</c:v>
                </c:pt>
                <c:pt idx="99">
                  <c:v>71.034633119999995</c:v>
                </c:pt>
                <c:pt idx="100">
                  <c:v>69.290709719999995</c:v>
                </c:pt>
                <c:pt idx="101">
                  <c:v>68.053492899999995</c:v>
                </c:pt>
                <c:pt idx="102">
                  <c:v>68.25621357</c:v>
                </c:pt>
                <c:pt idx="103">
                  <c:v>70.632318650000002</c:v>
                </c:pt>
                <c:pt idx="104">
                  <c:v>71.137348639999999</c:v>
                </c:pt>
                <c:pt idx="105">
                  <c:v>72.624866999999995</c:v>
                </c:pt>
                <c:pt idx="106">
                  <c:v>72.170161329999999</c:v>
                </c:pt>
                <c:pt idx="107">
                  <c:v>70.479541519999998</c:v>
                </c:pt>
                <c:pt idx="108">
                  <c:v>70.901754350000004</c:v>
                </c:pt>
                <c:pt idx="109">
                  <c:v>70.608687169999996</c:v>
                </c:pt>
                <c:pt idx="110">
                  <c:v>69.389764639999996</c:v>
                </c:pt>
                <c:pt idx="111">
                  <c:v>70.131227480000007</c:v>
                </c:pt>
                <c:pt idx="112">
                  <c:v>69.565480440000002</c:v>
                </c:pt>
                <c:pt idx="113">
                  <c:v>69.409522920000001</c:v>
                </c:pt>
                <c:pt idx="114">
                  <c:v>71.103852320000001</c:v>
                </c:pt>
                <c:pt idx="115">
                  <c:v>70.738173029999999</c:v>
                </c:pt>
                <c:pt idx="116">
                  <c:v>69.308606729999994</c:v>
                </c:pt>
                <c:pt idx="117">
                  <c:v>68.899374440000003</c:v>
                </c:pt>
                <c:pt idx="118">
                  <c:v>70.568833229999996</c:v>
                </c:pt>
                <c:pt idx="119">
                  <c:v>70.118946930000007</c:v>
                </c:pt>
                <c:pt idx="120">
                  <c:v>69.513847339999998</c:v>
                </c:pt>
                <c:pt idx="121">
                  <c:v>69.162331589999994</c:v>
                </c:pt>
                <c:pt idx="122">
                  <c:v>69.827170240000001</c:v>
                </c:pt>
                <c:pt idx="123">
                  <c:v>69.762112909999999</c:v>
                </c:pt>
                <c:pt idx="124">
                  <c:v>68.30728062</c:v>
                </c:pt>
                <c:pt idx="125">
                  <c:v>68.168553560000007</c:v>
                </c:pt>
                <c:pt idx="126">
                  <c:v>68.476158909999995</c:v>
                </c:pt>
                <c:pt idx="127">
                  <c:v>70.878448660000004</c:v>
                </c:pt>
                <c:pt idx="128">
                  <c:v>71.796895570000004</c:v>
                </c:pt>
                <c:pt idx="129">
                  <c:v>71.401862120000004</c:v>
                </c:pt>
                <c:pt idx="130">
                  <c:v>69.796690290000001</c:v>
                </c:pt>
                <c:pt idx="131">
                  <c:v>68.641663989999998</c:v>
                </c:pt>
                <c:pt idx="132">
                  <c:v>68.738473709999994</c:v>
                </c:pt>
                <c:pt idx="133">
                  <c:v>68.598704920000003</c:v>
                </c:pt>
                <c:pt idx="134">
                  <c:v>72.034881229999996</c:v>
                </c:pt>
                <c:pt idx="135">
                  <c:v>69.39599561</c:v>
                </c:pt>
                <c:pt idx="136">
                  <c:v>69.591141530000002</c:v>
                </c:pt>
                <c:pt idx="137">
                  <c:v>68.651333940000001</c:v>
                </c:pt>
                <c:pt idx="138">
                  <c:v>69.209114409999998</c:v>
                </c:pt>
                <c:pt idx="139">
                  <c:v>68.942066519999997</c:v>
                </c:pt>
                <c:pt idx="140">
                  <c:v>68.42487663</c:v>
                </c:pt>
                <c:pt idx="141">
                  <c:v>68.232109719999997</c:v>
                </c:pt>
                <c:pt idx="142">
                  <c:v>71.166788999999994</c:v>
                </c:pt>
                <c:pt idx="143">
                  <c:v>71.097452059999995</c:v>
                </c:pt>
                <c:pt idx="144">
                  <c:v>69.542732340000001</c:v>
                </c:pt>
                <c:pt idx="145">
                  <c:v>69.95219075</c:v>
                </c:pt>
                <c:pt idx="146">
                  <c:v>70.118844060000001</c:v>
                </c:pt>
                <c:pt idx="147">
                  <c:v>70.805682970000007</c:v>
                </c:pt>
                <c:pt idx="148">
                  <c:v>68.623499910000007</c:v>
                </c:pt>
                <c:pt idx="149">
                  <c:v>69.235998960000003</c:v>
                </c:pt>
                <c:pt idx="150">
                  <c:v>70.727244240000005</c:v>
                </c:pt>
                <c:pt idx="151">
                  <c:v>69.003948570000006</c:v>
                </c:pt>
                <c:pt idx="152">
                  <c:v>69.632391150000004</c:v>
                </c:pt>
                <c:pt idx="153">
                  <c:v>71.77443169</c:v>
                </c:pt>
                <c:pt idx="154">
                  <c:v>71.160083970000002</c:v>
                </c:pt>
                <c:pt idx="155">
                  <c:v>70.985126809999997</c:v>
                </c:pt>
                <c:pt idx="156">
                  <c:v>70.91362135</c:v>
                </c:pt>
                <c:pt idx="157">
                  <c:v>69.545129070000002</c:v>
                </c:pt>
                <c:pt idx="158">
                  <c:v>69.492757769999997</c:v>
                </c:pt>
                <c:pt idx="159">
                  <c:v>68.265121230000005</c:v>
                </c:pt>
                <c:pt idx="160">
                  <c:v>68.659942369999996</c:v>
                </c:pt>
                <c:pt idx="161">
                  <c:v>69.982117029999998</c:v>
                </c:pt>
                <c:pt idx="162">
                  <c:v>71.114388000000005</c:v>
                </c:pt>
                <c:pt idx="163">
                  <c:v>70.698609820000001</c:v>
                </c:pt>
                <c:pt idx="164">
                  <c:v>70.804833220000006</c:v>
                </c:pt>
                <c:pt idx="165">
                  <c:v>69.170410770000004</c:v>
                </c:pt>
                <c:pt idx="166">
                  <c:v>69.159099220000002</c:v>
                </c:pt>
                <c:pt idx="167">
                  <c:v>69.763615689999995</c:v>
                </c:pt>
                <c:pt idx="168">
                  <c:v>71.960030889999999</c:v>
                </c:pt>
                <c:pt idx="169">
                  <c:v>71.03276717</c:v>
                </c:pt>
                <c:pt idx="170">
                  <c:v>69.532634400000006</c:v>
                </c:pt>
                <c:pt idx="171">
                  <c:v>69.431101709999993</c:v>
                </c:pt>
                <c:pt idx="172">
                  <c:v>68.879757260000005</c:v>
                </c:pt>
                <c:pt idx="173">
                  <c:v>69.691277690000007</c:v>
                </c:pt>
                <c:pt idx="174">
                  <c:v>69.785784219999996</c:v>
                </c:pt>
                <c:pt idx="175">
                  <c:v>68.172759679999999</c:v>
                </c:pt>
                <c:pt idx="176">
                  <c:v>68.909333989999993</c:v>
                </c:pt>
                <c:pt idx="177">
                  <c:v>69.576229400000003</c:v>
                </c:pt>
                <c:pt idx="178">
                  <c:v>68.440514140000005</c:v>
                </c:pt>
                <c:pt idx="179">
                  <c:v>69.124305509999999</c:v>
                </c:pt>
                <c:pt idx="180">
                  <c:v>71.43178503</c:v>
                </c:pt>
                <c:pt idx="181">
                  <c:v>71.643083110000006</c:v>
                </c:pt>
                <c:pt idx="182">
                  <c:v>71.168241550000005</c:v>
                </c:pt>
                <c:pt idx="183">
                  <c:v>68.866523270000002</c:v>
                </c:pt>
                <c:pt idx="184">
                  <c:v>69.446339870000003</c:v>
                </c:pt>
                <c:pt idx="185">
                  <c:v>70.156296519999998</c:v>
                </c:pt>
                <c:pt idx="186">
                  <c:v>70.788921189999996</c:v>
                </c:pt>
                <c:pt idx="187">
                  <c:v>70.849092380000002</c:v>
                </c:pt>
                <c:pt idx="188">
                  <c:v>68.912998349999995</c:v>
                </c:pt>
                <c:pt idx="189">
                  <c:v>69.051670479999999</c:v>
                </c:pt>
                <c:pt idx="190">
                  <c:v>68.99923192</c:v>
                </c:pt>
                <c:pt idx="191">
                  <c:v>69.633953919999996</c:v>
                </c:pt>
                <c:pt idx="192">
                  <c:v>69.183201850000003</c:v>
                </c:pt>
                <c:pt idx="193">
                  <c:v>70.932205300000007</c:v>
                </c:pt>
                <c:pt idx="194">
                  <c:v>69.945390239999995</c:v>
                </c:pt>
                <c:pt idx="195">
                  <c:v>68.788630400000002</c:v>
                </c:pt>
                <c:pt idx="196">
                  <c:v>69.36414757</c:v>
                </c:pt>
                <c:pt idx="197">
                  <c:v>68.904800359999996</c:v>
                </c:pt>
                <c:pt idx="198">
                  <c:v>69.108972640000005</c:v>
                </c:pt>
                <c:pt idx="199">
                  <c:v>68.963978879999999</c:v>
                </c:pt>
                <c:pt idx="200">
                  <c:v>71.056867600000004</c:v>
                </c:pt>
                <c:pt idx="201">
                  <c:v>71.730730719999997</c:v>
                </c:pt>
                <c:pt idx="202">
                  <c:v>70.663908640000002</c:v>
                </c:pt>
                <c:pt idx="203">
                  <c:v>69.487908910000002</c:v>
                </c:pt>
                <c:pt idx="204">
                  <c:v>70.434490370000006</c:v>
                </c:pt>
                <c:pt idx="205">
                  <c:v>70.819525630000001</c:v>
                </c:pt>
                <c:pt idx="206">
                  <c:v>70.859420670000006</c:v>
                </c:pt>
                <c:pt idx="207">
                  <c:v>70.243602480000007</c:v>
                </c:pt>
                <c:pt idx="208">
                  <c:v>68.200105260000001</c:v>
                </c:pt>
                <c:pt idx="209">
                  <c:v>68.734516429999999</c:v>
                </c:pt>
                <c:pt idx="210">
                  <c:v>69.24818836</c:v>
                </c:pt>
                <c:pt idx="211">
                  <c:v>70.573613359999996</c:v>
                </c:pt>
                <c:pt idx="212">
                  <c:v>71.581553940000006</c:v>
                </c:pt>
                <c:pt idx="213">
                  <c:v>70.118897309999994</c:v>
                </c:pt>
                <c:pt idx="214">
                  <c:v>70.065257439999996</c:v>
                </c:pt>
                <c:pt idx="215">
                  <c:v>71.739364269999996</c:v>
                </c:pt>
                <c:pt idx="216">
                  <c:v>70.356328610000006</c:v>
                </c:pt>
                <c:pt idx="217">
                  <c:v>71.373909620000006</c:v>
                </c:pt>
                <c:pt idx="218">
                  <c:v>69.864861349999998</c:v>
                </c:pt>
                <c:pt idx="219">
                  <c:v>69.529703679999997</c:v>
                </c:pt>
                <c:pt idx="220">
                  <c:v>69.747218189999998</c:v>
                </c:pt>
                <c:pt idx="221">
                  <c:v>70.000918709999993</c:v>
                </c:pt>
                <c:pt idx="222">
                  <c:v>69.238707730000002</c:v>
                </c:pt>
                <c:pt idx="223">
                  <c:v>68.95176592</c:v>
                </c:pt>
                <c:pt idx="224">
                  <c:v>68.931726949999998</c:v>
                </c:pt>
                <c:pt idx="225">
                  <c:v>70.000468990000002</c:v>
                </c:pt>
                <c:pt idx="226">
                  <c:v>70.650798420000001</c:v>
                </c:pt>
                <c:pt idx="227">
                  <c:v>72.616282690000006</c:v>
                </c:pt>
                <c:pt idx="228">
                  <c:v>72.745519090000002</c:v>
                </c:pt>
                <c:pt idx="229">
                  <c:v>70.352583409999994</c:v>
                </c:pt>
                <c:pt idx="230">
                  <c:v>69.712763929999994</c:v>
                </c:pt>
                <c:pt idx="231">
                  <c:v>70.719001320000004</c:v>
                </c:pt>
                <c:pt idx="232">
                  <c:v>70.548173439999999</c:v>
                </c:pt>
                <c:pt idx="233">
                  <c:v>70.043562089999995</c:v>
                </c:pt>
                <c:pt idx="234">
                  <c:v>69.913260159999993</c:v>
                </c:pt>
                <c:pt idx="235">
                  <c:v>70.802164099999999</c:v>
                </c:pt>
                <c:pt idx="236">
                  <c:v>69.658999890000004</c:v>
                </c:pt>
                <c:pt idx="237">
                  <c:v>69.229081230000006</c:v>
                </c:pt>
                <c:pt idx="238">
                  <c:v>70.110181920000002</c:v>
                </c:pt>
                <c:pt idx="239">
                  <c:v>70.608831850000001</c:v>
                </c:pt>
                <c:pt idx="240">
                  <c:v>70.571827299999995</c:v>
                </c:pt>
                <c:pt idx="241">
                  <c:v>69.790645659999996</c:v>
                </c:pt>
                <c:pt idx="242">
                  <c:v>70.675374989999995</c:v>
                </c:pt>
                <c:pt idx="243">
                  <c:v>72.601899549999999</c:v>
                </c:pt>
                <c:pt idx="244">
                  <c:v>71.764942719999993</c:v>
                </c:pt>
                <c:pt idx="245">
                  <c:v>70.085219069999994</c:v>
                </c:pt>
                <c:pt idx="246">
                  <c:v>70.277388909999999</c:v>
                </c:pt>
                <c:pt idx="247">
                  <c:v>69.601734989999997</c:v>
                </c:pt>
                <c:pt idx="248">
                  <c:v>68.928133979999998</c:v>
                </c:pt>
                <c:pt idx="249">
                  <c:v>69.509168639999999</c:v>
                </c:pt>
                <c:pt idx="250">
                  <c:v>67.444264360000005</c:v>
                </c:pt>
                <c:pt idx="251">
                  <c:v>67.459857659999997</c:v>
                </c:pt>
                <c:pt idx="252">
                  <c:v>68.894673429999997</c:v>
                </c:pt>
                <c:pt idx="253">
                  <c:v>68.745457900000005</c:v>
                </c:pt>
                <c:pt idx="254">
                  <c:v>68.546229609999997</c:v>
                </c:pt>
                <c:pt idx="255">
                  <c:v>69.067352060000005</c:v>
                </c:pt>
                <c:pt idx="256">
                  <c:v>68.233577060000002</c:v>
                </c:pt>
                <c:pt idx="257">
                  <c:v>68.813868819999996</c:v>
                </c:pt>
                <c:pt idx="258">
                  <c:v>69.282978009999994</c:v>
                </c:pt>
                <c:pt idx="259">
                  <c:v>69.951031369999995</c:v>
                </c:pt>
                <c:pt idx="260">
                  <c:v>71.339909449999993</c:v>
                </c:pt>
                <c:pt idx="261">
                  <c:v>70.991140669999993</c:v>
                </c:pt>
                <c:pt idx="262">
                  <c:v>70.213773590000002</c:v>
                </c:pt>
                <c:pt idx="263">
                  <c:v>69.930376409999994</c:v>
                </c:pt>
                <c:pt idx="264">
                  <c:v>70.121486540000006</c:v>
                </c:pt>
                <c:pt idx="265">
                  <c:v>69.077040350000004</c:v>
                </c:pt>
                <c:pt idx="266">
                  <c:v>69.295002920000002</c:v>
                </c:pt>
                <c:pt idx="267">
                  <c:v>70.162640890000006</c:v>
                </c:pt>
                <c:pt idx="268">
                  <c:v>68.938323670000003</c:v>
                </c:pt>
                <c:pt idx="269">
                  <c:v>70.179854860000006</c:v>
                </c:pt>
                <c:pt idx="270">
                  <c:v>71.507791850000004</c:v>
                </c:pt>
                <c:pt idx="271">
                  <c:v>70.219342659999995</c:v>
                </c:pt>
                <c:pt idx="272">
                  <c:v>69.437930249999994</c:v>
                </c:pt>
                <c:pt idx="273">
                  <c:v>68.718765009999998</c:v>
                </c:pt>
                <c:pt idx="274">
                  <c:v>70.099260409999999</c:v>
                </c:pt>
                <c:pt idx="275">
                  <c:v>69.382704459999999</c:v>
                </c:pt>
                <c:pt idx="276">
                  <c:v>69.377367539999995</c:v>
                </c:pt>
                <c:pt idx="277">
                  <c:v>68.952689280000001</c:v>
                </c:pt>
                <c:pt idx="278">
                  <c:v>69.609357579999994</c:v>
                </c:pt>
                <c:pt idx="279">
                  <c:v>68.285578490000006</c:v>
                </c:pt>
                <c:pt idx="280">
                  <c:v>70.415001459999999</c:v>
                </c:pt>
                <c:pt idx="281">
                  <c:v>69.79872091</c:v>
                </c:pt>
                <c:pt idx="282">
                  <c:v>69.814626790000005</c:v>
                </c:pt>
                <c:pt idx="283">
                  <c:v>69.736636759999996</c:v>
                </c:pt>
                <c:pt idx="284">
                  <c:v>69.135479509999996</c:v>
                </c:pt>
                <c:pt idx="285">
                  <c:v>68.672516540000004</c:v>
                </c:pt>
                <c:pt idx="286">
                  <c:v>70.399264619999997</c:v>
                </c:pt>
                <c:pt idx="287">
                  <c:v>70.112163210000006</c:v>
                </c:pt>
                <c:pt idx="288">
                  <c:v>70.218688729999997</c:v>
                </c:pt>
                <c:pt idx="289">
                  <c:v>69.296067390000005</c:v>
                </c:pt>
                <c:pt idx="290">
                  <c:v>68.864852380000002</c:v>
                </c:pt>
                <c:pt idx="291">
                  <c:v>70.002338359999996</c:v>
                </c:pt>
                <c:pt idx="292">
                  <c:v>71.2723558</c:v>
                </c:pt>
                <c:pt idx="293">
                  <c:v>70.587395569999998</c:v>
                </c:pt>
                <c:pt idx="294">
                  <c:v>68.54881073</c:v>
                </c:pt>
                <c:pt idx="295">
                  <c:v>70.951023849999999</c:v>
                </c:pt>
                <c:pt idx="296">
                  <c:v>70.149421779999997</c:v>
                </c:pt>
                <c:pt idx="297">
                  <c:v>68.262758509999998</c:v>
                </c:pt>
                <c:pt idx="298">
                  <c:v>71.507253160000005</c:v>
                </c:pt>
                <c:pt idx="299">
                  <c:v>71.021492050000006</c:v>
                </c:pt>
                <c:pt idx="300">
                  <c:v>68.698986590000004</c:v>
                </c:pt>
                <c:pt idx="301">
                  <c:v>68.229504570000003</c:v>
                </c:pt>
                <c:pt idx="302">
                  <c:v>69.695551660000007</c:v>
                </c:pt>
                <c:pt idx="303">
                  <c:v>70.538791180000004</c:v>
                </c:pt>
                <c:pt idx="304">
                  <c:v>69.562880010000001</c:v>
                </c:pt>
                <c:pt idx="305">
                  <c:v>71.398814250000001</c:v>
                </c:pt>
                <c:pt idx="306">
                  <c:v>70.448844870000002</c:v>
                </c:pt>
                <c:pt idx="307">
                  <c:v>68.664976060000001</c:v>
                </c:pt>
                <c:pt idx="308">
                  <c:v>70.025025569999997</c:v>
                </c:pt>
                <c:pt idx="309">
                  <c:v>71.744585369999996</c:v>
                </c:pt>
                <c:pt idx="310">
                  <c:v>70.221750450000002</c:v>
                </c:pt>
                <c:pt idx="311">
                  <c:v>68.208327370000006</c:v>
                </c:pt>
                <c:pt idx="312">
                  <c:v>69.888909549999994</c:v>
                </c:pt>
                <c:pt idx="313">
                  <c:v>68.42352391</c:v>
                </c:pt>
                <c:pt idx="314">
                  <c:v>67.860819820000003</c:v>
                </c:pt>
                <c:pt idx="315">
                  <c:v>70.156880869999995</c:v>
                </c:pt>
                <c:pt idx="316">
                  <c:v>70.68053003</c:v>
                </c:pt>
                <c:pt idx="317">
                  <c:v>70.097316410000005</c:v>
                </c:pt>
                <c:pt idx="318">
                  <c:v>70.207047439999997</c:v>
                </c:pt>
                <c:pt idx="319">
                  <c:v>69.942259120000003</c:v>
                </c:pt>
                <c:pt idx="320">
                  <c:v>68.604554519999994</c:v>
                </c:pt>
                <c:pt idx="321">
                  <c:v>70.45613032</c:v>
                </c:pt>
                <c:pt idx="322">
                  <c:v>72.017325889999995</c:v>
                </c:pt>
                <c:pt idx="323">
                  <c:v>71.278889000000007</c:v>
                </c:pt>
                <c:pt idx="324">
                  <c:v>70.207269650000001</c:v>
                </c:pt>
                <c:pt idx="325">
                  <c:v>72.080319900000006</c:v>
                </c:pt>
                <c:pt idx="326">
                  <c:v>70.909578199999999</c:v>
                </c:pt>
                <c:pt idx="327">
                  <c:v>69.662073969999994</c:v>
                </c:pt>
                <c:pt idx="328">
                  <c:v>69.888852170000007</c:v>
                </c:pt>
                <c:pt idx="329">
                  <c:v>71.50601107</c:v>
                </c:pt>
                <c:pt idx="330">
                  <c:v>72.529721739999999</c:v>
                </c:pt>
                <c:pt idx="331">
                  <c:v>70.80745709</c:v>
                </c:pt>
                <c:pt idx="332">
                  <c:v>70.03388898</c:v>
                </c:pt>
                <c:pt idx="333">
                  <c:v>68.400012790000005</c:v>
                </c:pt>
                <c:pt idx="334">
                  <c:v>68.71786487</c:v>
                </c:pt>
                <c:pt idx="335">
                  <c:v>68.870424689999993</c:v>
                </c:pt>
                <c:pt idx="336">
                  <c:v>68.700063599999993</c:v>
                </c:pt>
                <c:pt idx="337">
                  <c:v>71.240487470000005</c:v>
                </c:pt>
                <c:pt idx="338">
                  <c:v>70.341986739999996</c:v>
                </c:pt>
                <c:pt idx="339">
                  <c:v>69.301439900000005</c:v>
                </c:pt>
                <c:pt idx="340">
                  <c:v>69.844116700000001</c:v>
                </c:pt>
                <c:pt idx="341">
                  <c:v>71.413863320000004</c:v>
                </c:pt>
                <c:pt idx="342">
                  <c:v>71.376198110000004</c:v>
                </c:pt>
                <c:pt idx="343">
                  <c:v>73.160914980000001</c:v>
                </c:pt>
                <c:pt idx="344">
                  <c:v>71.409021580000001</c:v>
                </c:pt>
                <c:pt idx="345">
                  <c:v>70.155854890000001</c:v>
                </c:pt>
                <c:pt idx="346">
                  <c:v>69.946407140000005</c:v>
                </c:pt>
                <c:pt idx="347">
                  <c:v>71.356137200000006</c:v>
                </c:pt>
                <c:pt idx="348">
                  <c:v>71.336999129999995</c:v>
                </c:pt>
                <c:pt idx="349">
                  <c:v>70.279128619999994</c:v>
                </c:pt>
                <c:pt idx="350">
                  <c:v>68.81888884</c:v>
                </c:pt>
                <c:pt idx="351">
                  <c:v>69.452038169999994</c:v>
                </c:pt>
                <c:pt idx="352">
                  <c:v>71.426901079999993</c:v>
                </c:pt>
                <c:pt idx="353">
                  <c:v>70.610147400000002</c:v>
                </c:pt>
                <c:pt idx="354">
                  <c:v>70.466961740000002</c:v>
                </c:pt>
                <c:pt idx="355">
                  <c:v>70.343280609999994</c:v>
                </c:pt>
                <c:pt idx="356">
                  <c:v>70.929399500000002</c:v>
                </c:pt>
                <c:pt idx="357">
                  <c:v>69.649901779999993</c:v>
                </c:pt>
                <c:pt idx="358">
                  <c:v>71.857768250000007</c:v>
                </c:pt>
                <c:pt idx="359">
                  <c:v>69.940529310000002</c:v>
                </c:pt>
                <c:pt idx="360">
                  <c:v>69.041436020000006</c:v>
                </c:pt>
                <c:pt idx="361">
                  <c:v>70.380795359999993</c:v>
                </c:pt>
                <c:pt idx="362">
                  <c:v>70.812779579999997</c:v>
                </c:pt>
                <c:pt idx="363">
                  <c:v>71.203415300000003</c:v>
                </c:pt>
                <c:pt idx="364">
                  <c:v>69.982112970000003</c:v>
                </c:pt>
                <c:pt idx="365">
                  <c:v>69.553438209999996</c:v>
                </c:pt>
                <c:pt idx="366">
                  <c:v>69.749661020000005</c:v>
                </c:pt>
                <c:pt idx="367">
                  <c:v>71.55302476</c:v>
                </c:pt>
                <c:pt idx="368">
                  <c:v>71.697345580000004</c:v>
                </c:pt>
                <c:pt idx="369">
                  <c:v>71.349172030000005</c:v>
                </c:pt>
                <c:pt idx="370">
                  <c:v>69.642373449999994</c:v>
                </c:pt>
                <c:pt idx="371">
                  <c:v>70.349555100000003</c:v>
                </c:pt>
                <c:pt idx="372">
                  <c:v>70.542602689999995</c:v>
                </c:pt>
                <c:pt idx="373">
                  <c:v>71.609840399999996</c:v>
                </c:pt>
                <c:pt idx="374">
                  <c:v>72.817183589999999</c:v>
                </c:pt>
                <c:pt idx="375">
                  <c:v>70.900592259999996</c:v>
                </c:pt>
                <c:pt idx="376">
                  <c:v>69.288897149999997</c:v>
                </c:pt>
                <c:pt idx="377">
                  <c:v>68.439115619999995</c:v>
                </c:pt>
                <c:pt idx="378">
                  <c:v>69.133220719999997</c:v>
                </c:pt>
                <c:pt idx="379">
                  <c:v>69.566172289999997</c:v>
                </c:pt>
                <c:pt idx="380">
                  <c:v>70.359241560000001</c:v>
                </c:pt>
                <c:pt idx="381">
                  <c:v>70.201126430000002</c:v>
                </c:pt>
                <c:pt idx="382">
                  <c:v>69.651304109999998</c:v>
                </c:pt>
                <c:pt idx="383">
                  <c:v>70.795029670000005</c:v>
                </c:pt>
                <c:pt idx="384">
                  <c:v>69.643746340000007</c:v>
                </c:pt>
                <c:pt idx="385">
                  <c:v>69.98084686</c:v>
                </c:pt>
                <c:pt idx="386">
                  <c:v>69.689442479999997</c:v>
                </c:pt>
                <c:pt idx="387">
                  <c:v>70.543779939999993</c:v>
                </c:pt>
                <c:pt idx="388">
                  <c:v>71.804696759999999</c:v>
                </c:pt>
                <c:pt idx="389">
                  <c:v>70.616585819999997</c:v>
                </c:pt>
                <c:pt idx="390">
                  <c:v>70.269575369999998</c:v>
                </c:pt>
                <c:pt idx="391">
                  <c:v>70.155562340000003</c:v>
                </c:pt>
                <c:pt idx="392">
                  <c:v>69.213042389999998</c:v>
                </c:pt>
                <c:pt idx="393">
                  <c:v>69.721944239999999</c:v>
                </c:pt>
                <c:pt idx="394">
                  <c:v>70.358374330000004</c:v>
                </c:pt>
                <c:pt idx="395">
                  <c:v>70.711312149999998</c:v>
                </c:pt>
                <c:pt idx="396">
                  <c:v>70.120876089999996</c:v>
                </c:pt>
                <c:pt idx="397">
                  <c:v>69.953324309999999</c:v>
                </c:pt>
                <c:pt idx="398">
                  <c:v>68.788120809999995</c:v>
                </c:pt>
                <c:pt idx="399">
                  <c:v>68.928761120000004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8-488A-908E-3A02BFCE3F89}"/>
            </c:ext>
          </c:extLst>
        </c:ser>
        <c:ser>
          <c:idx val="1"/>
          <c:order val="1"/>
          <c:tx>
            <c:strRef>
              <c:f>'AR(2) MA(0)'!$D$1</c:f>
              <c:strCache>
                <c:ptCount val="1"/>
                <c:pt idx="0">
                  <c:v>Yt_pred = 0.03559yt-1 + 0.96yt-2 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val>
            <c:numRef>
              <c:f>'AR(2) MA(0)'!$D$2:$D$401</c:f>
              <c:numCache>
                <c:formatCode>General</c:formatCode>
                <c:ptCount val="400"/>
                <c:pt idx="2">
                  <c:v>68.091636630746905</c:v>
                </c:pt>
                <c:pt idx="3">
                  <c:v>69.330381302422495</c:v>
                </c:pt>
                <c:pt idx="4">
                  <c:v>69.056528131124708</c:v>
                </c:pt>
                <c:pt idx="5">
                  <c:v>69.597253294398499</c:v>
                </c:pt>
                <c:pt idx="6">
                  <c:v>68.454578979778489</c:v>
                </c:pt>
                <c:pt idx="7">
                  <c:v>68.407093746263598</c:v>
                </c:pt>
                <c:pt idx="8">
                  <c:v>69.126618418822289</c:v>
                </c:pt>
                <c:pt idx="9">
                  <c:v>68.147579223467602</c:v>
                </c:pt>
                <c:pt idx="10">
                  <c:v>69.031520101866704</c:v>
                </c:pt>
                <c:pt idx="11">
                  <c:v>69.332556176584092</c:v>
                </c:pt>
                <c:pt idx="12">
                  <c:v>67.954943317579989</c:v>
                </c:pt>
                <c:pt idx="13">
                  <c:v>67.527532316669095</c:v>
                </c:pt>
                <c:pt idx="14">
                  <c:v>69.526734515789201</c:v>
                </c:pt>
                <c:pt idx="15">
                  <c:v>71.096730132499587</c:v>
                </c:pt>
                <c:pt idx="16">
                  <c:v>70.471700902220903</c:v>
                </c:pt>
                <c:pt idx="17">
                  <c:v>70.134449431696595</c:v>
                </c:pt>
                <c:pt idx="18">
                  <c:v>69.949690493534305</c:v>
                </c:pt>
                <c:pt idx="19">
                  <c:v>70.07559569736749</c:v>
                </c:pt>
                <c:pt idx="20">
                  <c:v>71.025270846939804</c:v>
                </c:pt>
                <c:pt idx="21">
                  <c:v>68.953750573401095</c:v>
                </c:pt>
                <c:pt idx="22">
                  <c:v>69.484385694823501</c:v>
                </c:pt>
                <c:pt idx="23">
                  <c:v>69.413706269768298</c:v>
                </c:pt>
                <c:pt idx="24">
                  <c:v>69.360772409950002</c:v>
                </c:pt>
                <c:pt idx="25">
                  <c:v>69.272750341154293</c:v>
                </c:pt>
                <c:pt idx="26">
                  <c:v>69.135546924994301</c:v>
                </c:pt>
                <c:pt idx="27">
                  <c:v>68.312789750422695</c:v>
                </c:pt>
                <c:pt idx="28">
                  <c:v>69.266394266339788</c:v>
                </c:pt>
                <c:pt idx="29">
                  <c:v>71.452017172068494</c:v>
                </c:pt>
                <c:pt idx="30">
                  <c:v>70.821265027543191</c:v>
                </c:pt>
                <c:pt idx="31">
                  <c:v>69.815273250080892</c:v>
                </c:pt>
                <c:pt idx="32">
                  <c:v>68.762706450799897</c:v>
                </c:pt>
                <c:pt idx="33">
                  <c:v>69.000767188672597</c:v>
                </c:pt>
                <c:pt idx="34">
                  <c:v>69.989901219408409</c:v>
                </c:pt>
                <c:pt idx="35">
                  <c:v>69.706036945757305</c:v>
                </c:pt>
                <c:pt idx="36">
                  <c:v>69.189262104584003</c:v>
                </c:pt>
                <c:pt idx="37">
                  <c:v>69.740118353454491</c:v>
                </c:pt>
                <c:pt idx="38">
                  <c:v>68.998904157519206</c:v>
                </c:pt>
                <c:pt idx="39">
                  <c:v>69.532809006030391</c:v>
                </c:pt>
                <c:pt idx="40">
                  <c:v>70.639833649949907</c:v>
                </c:pt>
                <c:pt idx="41">
                  <c:v>71.610301388976097</c:v>
                </c:pt>
                <c:pt idx="42">
                  <c:v>70.520046796456697</c:v>
                </c:pt>
                <c:pt idx="43">
                  <c:v>70.962555658570693</c:v>
                </c:pt>
                <c:pt idx="44">
                  <c:v>71.163007641823398</c:v>
                </c:pt>
                <c:pt idx="45">
                  <c:v>69.193237322262789</c:v>
                </c:pt>
                <c:pt idx="46">
                  <c:v>67.7708754687566</c:v>
                </c:pt>
                <c:pt idx="47">
                  <c:v>68.43231881009541</c:v>
                </c:pt>
                <c:pt idx="48">
                  <c:v>70.497244023277901</c:v>
                </c:pt>
                <c:pt idx="49">
                  <c:v>70.461787844608892</c:v>
                </c:pt>
                <c:pt idx="50">
                  <c:v>69.390422578771407</c:v>
                </c:pt>
                <c:pt idx="51">
                  <c:v>70.779991574492499</c:v>
                </c:pt>
                <c:pt idx="52">
                  <c:v>70.627616528443582</c:v>
                </c:pt>
                <c:pt idx="53">
                  <c:v>67.709999690099792</c:v>
                </c:pt>
                <c:pt idx="54">
                  <c:v>68.544607297352599</c:v>
                </c:pt>
                <c:pt idx="55">
                  <c:v>70.104942878506307</c:v>
                </c:pt>
                <c:pt idx="56">
                  <c:v>70.516083097456985</c:v>
                </c:pt>
                <c:pt idx="57">
                  <c:v>70.491406271997988</c:v>
                </c:pt>
                <c:pt idx="58">
                  <c:v>69.812422540308404</c:v>
                </c:pt>
                <c:pt idx="59">
                  <c:v>68.245088251812106</c:v>
                </c:pt>
                <c:pt idx="60">
                  <c:v>68.397705877055088</c:v>
                </c:pt>
                <c:pt idx="61">
                  <c:v>68.408019637649303</c:v>
                </c:pt>
                <c:pt idx="62">
                  <c:v>68.369026145998589</c:v>
                </c:pt>
                <c:pt idx="63">
                  <c:v>68.086478262466599</c:v>
                </c:pt>
                <c:pt idx="64">
                  <c:v>69.562962770707699</c:v>
                </c:pt>
                <c:pt idx="65">
                  <c:v>70.173774280388699</c:v>
                </c:pt>
                <c:pt idx="66">
                  <c:v>69.565937048767793</c:v>
                </c:pt>
                <c:pt idx="67">
                  <c:v>68.847141905068298</c:v>
                </c:pt>
                <c:pt idx="68">
                  <c:v>69.238336389757791</c:v>
                </c:pt>
                <c:pt idx="69">
                  <c:v>70.637466160219702</c:v>
                </c:pt>
                <c:pt idx="70">
                  <c:v>68.484254731920103</c:v>
                </c:pt>
                <c:pt idx="71">
                  <c:v>69.025602559175894</c:v>
                </c:pt>
                <c:pt idx="72">
                  <c:v>69.063039209919495</c:v>
                </c:pt>
                <c:pt idx="73">
                  <c:v>67.635602779892594</c:v>
                </c:pt>
                <c:pt idx="74">
                  <c:v>66.745998977066193</c:v>
                </c:pt>
                <c:pt idx="75">
                  <c:v>67.672368747858798</c:v>
                </c:pt>
                <c:pt idx="76">
                  <c:v>69.588249837185302</c:v>
                </c:pt>
                <c:pt idx="77">
                  <c:v>70.579071338739595</c:v>
                </c:pt>
                <c:pt idx="78">
                  <c:v>69.389651325655493</c:v>
                </c:pt>
                <c:pt idx="79">
                  <c:v>70.270963524127609</c:v>
                </c:pt>
                <c:pt idx="80">
                  <c:v>71.509753600117705</c:v>
                </c:pt>
                <c:pt idx="81">
                  <c:v>70.967668199709394</c:v>
                </c:pt>
                <c:pt idx="82">
                  <c:v>69.383856359153299</c:v>
                </c:pt>
                <c:pt idx="83">
                  <c:v>70.230250304079803</c:v>
                </c:pt>
                <c:pt idx="84">
                  <c:v>70.862954172548186</c:v>
                </c:pt>
                <c:pt idx="85">
                  <c:v>71.041954982858499</c:v>
                </c:pt>
                <c:pt idx="86">
                  <c:v>69.419109817962095</c:v>
                </c:pt>
                <c:pt idx="87">
                  <c:v>66.476953662597097</c:v>
                </c:pt>
                <c:pt idx="88">
                  <c:v>69.819137469824497</c:v>
                </c:pt>
                <c:pt idx="89">
                  <c:v>69.184590126677492</c:v>
                </c:pt>
                <c:pt idx="90">
                  <c:v>69.399316212163598</c:v>
                </c:pt>
                <c:pt idx="91">
                  <c:v>71.965403456662997</c:v>
                </c:pt>
                <c:pt idx="92">
                  <c:v>71.494494573247195</c:v>
                </c:pt>
                <c:pt idx="93">
                  <c:v>70.948792026214292</c:v>
                </c:pt>
                <c:pt idx="94">
                  <c:v>68.399268971439199</c:v>
                </c:pt>
                <c:pt idx="95">
                  <c:v>66.813314603129911</c:v>
                </c:pt>
                <c:pt idx="96">
                  <c:v>67.879543177745703</c:v>
                </c:pt>
                <c:pt idx="97">
                  <c:v>70.50243824684091</c:v>
                </c:pt>
                <c:pt idx="98">
                  <c:v>70.360829421058796</c:v>
                </c:pt>
                <c:pt idx="99">
                  <c:v>69.093870970149695</c:v>
                </c:pt>
                <c:pt idx="100">
                  <c:v>69.360538429540796</c:v>
                </c:pt>
                <c:pt idx="101">
                  <c:v>70.659304154134787</c:v>
                </c:pt>
                <c:pt idx="102">
                  <c:v>68.941105143510995</c:v>
                </c:pt>
                <c:pt idx="103">
                  <c:v>67.760591824956293</c:v>
                </c:pt>
                <c:pt idx="104">
                  <c:v>68.039769247953501</c:v>
                </c:pt>
                <c:pt idx="105">
                  <c:v>70.338804142097601</c:v>
                </c:pt>
                <c:pt idx="106">
                  <c:v>70.876573710930003</c:v>
                </c:pt>
                <c:pt idx="107">
                  <c:v>72.288408361734696</c:v>
                </c:pt>
                <c:pt idx="108">
                  <c:v>71.791721759496795</c:v>
                </c:pt>
                <c:pt idx="109">
                  <c:v>70.1837532965165</c:v>
                </c:pt>
                <c:pt idx="110">
                  <c:v>70.578647352380301</c:v>
                </c:pt>
                <c:pt idx="111">
                  <c:v>70.253921406737589</c:v>
                </c:pt>
                <c:pt idx="112">
                  <c:v>69.110144440413194</c:v>
                </c:pt>
                <c:pt idx="113">
                  <c:v>69.801813829659608</c:v>
                </c:pt>
                <c:pt idx="114">
                  <c:v>69.253146143122805</c:v>
                </c:pt>
                <c:pt idx="115">
                  <c:v>69.163728107268795</c:v>
                </c:pt>
                <c:pt idx="116">
                  <c:v>70.77726980533771</c:v>
                </c:pt>
                <c:pt idx="117">
                  <c:v>70.375339422320693</c:v>
                </c:pt>
                <c:pt idx="118">
                  <c:v>68.988391197119583</c:v>
                </c:pt>
                <c:pt idx="119">
                  <c:v>68.654944237055702</c:v>
                </c:pt>
                <c:pt idx="120">
                  <c:v>70.241613222038694</c:v>
                </c:pt>
                <c:pt idx="121">
                  <c:v>69.788186879630601</c:v>
                </c:pt>
                <c:pt idx="122">
                  <c:v>69.194780827688092</c:v>
                </c:pt>
                <c:pt idx="123">
                  <c:v>68.880987315241597</c:v>
                </c:pt>
                <c:pt idx="124">
                  <c:v>69.516917028866899</c:v>
                </c:pt>
                <c:pt idx="125">
                  <c:v>69.402684510865797</c:v>
                </c:pt>
                <c:pt idx="126">
                  <c:v>68.001108216400397</c:v>
                </c:pt>
                <c:pt idx="127">
                  <c:v>67.878877913206907</c:v>
                </c:pt>
                <c:pt idx="128">
                  <c:v>68.259676541409405</c:v>
                </c:pt>
                <c:pt idx="129">
                  <c:v>70.598562226936309</c:v>
                </c:pt>
                <c:pt idx="130">
                  <c:v>71.46621202005079</c:v>
                </c:pt>
                <c:pt idx="131">
                  <c:v>71.029851842621099</c:v>
                </c:pt>
                <c:pt idx="132">
                  <c:v>69.447779499804099</c:v>
                </c:pt>
                <c:pt idx="133">
                  <c:v>68.342399709738899</c:v>
                </c:pt>
                <c:pt idx="134">
                  <c:v>68.430362669702788</c:v>
                </c:pt>
                <c:pt idx="135">
                  <c:v>68.418478146175701</c:v>
                </c:pt>
                <c:pt idx="136">
                  <c:v>71.623289464559903</c:v>
                </c:pt>
                <c:pt idx="137">
                  <c:v>69.096904512652685</c:v>
                </c:pt>
                <c:pt idx="138">
                  <c:v>69.250796843724601</c:v>
                </c:pt>
                <c:pt idx="139">
                  <c:v>68.368432964251895</c:v>
                </c:pt>
                <c:pt idx="140">
                  <c:v>68.894397981046794</c:v>
                </c:pt>
                <c:pt idx="141">
                  <c:v>68.619625218461692</c:v>
                </c:pt>
                <c:pt idx="142">
                  <c:v>68.116262349734797</c:v>
                </c:pt>
                <c:pt idx="143">
                  <c:v>68.035651351710001</c:v>
                </c:pt>
                <c:pt idx="144">
                  <c:v>70.850475758815392</c:v>
                </c:pt>
                <c:pt idx="145">
                  <c:v>70.728579821580595</c:v>
                </c:pt>
                <c:pt idx="146">
                  <c:v>69.250621515192492</c:v>
                </c:pt>
                <c:pt idx="147">
                  <c:v>69.649632780095402</c:v>
                </c:pt>
                <c:pt idx="148">
                  <c:v>69.834064554502305</c:v>
                </c:pt>
                <c:pt idx="149">
                  <c:v>70.415766012996897</c:v>
                </c:pt>
                <c:pt idx="150">
                  <c:v>68.342669116586393</c:v>
                </c:pt>
                <c:pt idx="151">
                  <c:v>68.983741624101597</c:v>
                </c:pt>
                <c:pt idx="152">
                  <c:v>70.354005000006296</c:v>
                </c:pt>
                <c:pt idx="153">
                  <c:v>68.722007428228494</c:v>
                </c:pt>
                <c:pt idx="154">
                  <c:v>69.4015475278471</c:v>
                </c:pt>
                <c:pt idx="155">
                  <c:v>71.436041810892306</c:v>
                </c:pt>
                <c:pt idx="156">
                  <c:v>70.840041274367906</c:v>
                </c:pt>
                <c:pt idx="157">
                  <c:v>70.6695375214465</c:v>
                </c:pt>
                <c:pt idx="158">
                  <c:v>70.5521876396013</c:v>
                </c:pt>
                <c:pt idx="159">
                  <c:v>69.236571156234305</c:v>
                </c:pt>
                <c:pt idx="160">
                  <c:v>69.1426031237757</c:v>
                </c:pt>
                <c:pt idx="161">
                  <c:v>67.978123729748305</c:v>
                </c:pt>
                <c:pt idx="162">
                  <c:v>68.404208220297704</c:v>
                </c:pt>
                <c:pt idx="163">
                  <c:v>69.713793417719984</c:v>
                </c:pt>
                <c:pt idx="164">
                  <c:v>70.785976003493801</c:v>
                </c:pt>
                <c:pt idx="165">
                  <c:v>70.390609441499791</c:v>
                </c:pt>
                <c:pt idx="166">
                  <c:v>70.434414810504308</c:v>
                </c:pt>
                <c:pt idx="167">
                  <c:v>68.864966680439792</c:v>
                </c:pt>
                <c:pt idx="168">
                  <c:v>68.875622333607097</c:v>
                </c:pt>
                <c:pt idx="169">
                  <c:v>69.534128561775091</c:v>
                </c:pt>
                <c:pt idx="170">
                  <c:v>71.609685837980294</c:v>
                </c:pt>
                <c:pt idx="171">
                  <c:v>70.666122941495999</c:v>
                </c:pt>
                <c:pt idx="172">
                  <c:v>69.222381933858898</c:v>
                </c:pt>
                <c:pt idx="173">
                  <c:v>69.105288202483379</c:v>
                </c:pt>
                <c:pt idx="174">
                  <c:v>68.604879542587099</c:v>
                </c:pt>
                <c:pt idx="175">
                  <c:v>69.387302642789805</c:v>
                </c:pt>
                <c:pt idx="176">
                  <c:v>69.420621368211187</c:v>
                </c:pt>
                <c:pt idx="177">
                  <c:v>67.898332489504085</c:v>
                </c:pt>
                <c:pt idx="178">
                  <c:v>68.629178634745983</c:v>
                </c:pt>
                <c:pt idx="179">
                  <c:v>69.228978122242594</c:v>
                </c:pt>
                <c:pt idx="180">
                  <c:v>68.163027607500908</c:v>
                </c:pt>
                <c:pt idx="181">
                  <c:v>68.901590518817699</c:v>
                </c:pt>
                <c:pt idx="182">
                  <c:v>71.124290956684888</c:v>
                </c:pt>
                <c:pt idx="183">
                  <c:v>71.310237502364501</c:v>
                </c:pt>
                <c:pt idx="184">
                  <c:v>70.7724714511793</c:v>
                </c:pt>
                <c:pt idx="185">
                  <c:v>68.583457575173298</c:v>
                </c:pt>
                <c:pt idx="186">
                  <c:v>69.165348868346797</c:v>
                </c:pt>
                <c:pt idx="187">
                  <c:v>69.86942236435209</c:v>
                </c:pt>
                <c:pt idx="188">
                  <c:v>70.478883540204194</c:v>
                </c:pt>
                <c:pt idx="189">
                  <c:v>70.467742296076509</c:v>
                </c:pt>
                <c:pt idx="190">
                  <c:v>68.614027368383205</c:v>
                </c:pt>
                <c:pt idx="191">
                  <c:v>68.74528632483279</c:v>
                </c:pt>
                <c:pt idx="192">
                  <c:v>68.717535063212793</c:v>
                </c:pt>
                <c:pt idx="193">
                  <c:v>69.310825917041498</c:v>
                </c:pt>
                <c:pt idx="194">
                  <c:v>68.940350962626994</c:v>
                </c:pt>
                <c:pt idx="195">
                  <c:v>70.584273526641596</c:v>
                </c:pt>
                <c:pt idx="196">
                  <c:v>69.595761986335987</c:v>
                </c:pt>
                <c:pt idx="197">
                  <c:v>68.50575519601631</c:v>
                </c:pt>
                <c:pt idx="198">
                  <c:v>69.041903512012397</c:v>
                </c:pt>
                <c:pt idx="199">
                  <c:v>68.608196681857592</c:v>
                </c:pt>
                <c:pt idx="200">
                  <c:v>68.799041742739206</c:v>
                </c:pt>
                <c:pt idx="201">
                  <c:v>68.734333642683993</c:v>
                </c:pt>
                <c:pt idx="202">
                  <c:v>70.767489602324801</c:v>
                </c:pt>
                <c:pt idx="203">
                  <c:v>71.376429999697592</c:v>
                </c:pt>
                <c:pt idx="204">
                  <c:v>70.310426972506903</c:v>
                </c:pt>
                <c:pt idx="205">
                  <c:v>69.215156065868285</c:v>
                </c:pt>
                <c:pt idx="206">
                  <c:v>70.137577672371705</c:v>
                </c:pt>
                <c:pt idx="207">
                  <c:v>70.508631386445302</c:v>
                </c:pt>
                <c:pt idx="208">
                  <c:v>70.525013655463212</c:v>
                </c:pt>
                <c:pt idx="209">
                  <c:v>69.861100127003397</c:v>
                </c:pt>
                <c:pt idx="210">
                  <c:v>67.918362489343693</c:v>
                </c:pt>
                <c:pt idx="211">
                  <c:v>68.449678796532396</c:v>
                </c:pt>
                <c:pt idx="212">
                  <c:v>68.989975725082402</c:v>
                </c:pt>
                <c:pt idx="213">
                  <c:v>70.298256330324591</c:v>
                </c:pt>
                <c:pt idx="214">
                  <c:v>71.213823337662902</c:v>
                </c:pt>
                <c:pt idx="215">
                  <c:v>69.807763929889603</c:v>
                </c:pt>
                <c:pt idx="216">
                  <c:v>69.815851116769295</c:v>
                </c:pt>
                <c:pt idx="217">
                  <c:v>71.373771434429898</c:v>
                </c:pt>
                <c:pt idx="218">
                  <c:v>70.08227290897581</c:v>
                </c:pt>
                <c:pt idx="219">
                  <c:v>71.005443650646498</c:v>
                </c:pt>
                <c:pt idx="220">
                  <c:v>69.544829049971199</c:v>
                </c:pt>
                <c:pt idx="221">
                  <c:v>69.230819028182097</c:v>
                </c:pt>
                <c:pt idx="222">
                  <c:v>69.448662159288901</c:v>
                </c:pt>
                <c:pt idx="223">
                  <c:v>69.665087569710693</c:v>
                </c:pt>
                <c:pt idx="224">
                  <c:v>68.923152769892795</c:v>
                </c:pt>
                <c:pt idx="225">
                  <c:v>68.646975445350506</c:v>
                </c:pt>
                <c:pt idx="226">
                  <c:v>68.665774563354091</c:v>
                </c:pt>
                <c:pt idx="227">
                  <c:v>69.714912146167791</c:v>
                </c:pt>
                <c:pt idx="228">
                  <c:v>70.409179984137097</c:v>
                </c:pt>
                <c:pt idx="229">
                  <c:v>72.300644406813106</c:v>
                </c:pt>
                <c:pt idx="230">
                  <c:v>72.339546769961885</c:v>
                </c:pt>
                <c:pt idx="231">
                  <c:v>70.019557341868705</c:v>
                </c:pt>
                <c:pt idx="232">
                  <c:v>69.441142629778795</c:v>
                </c:pt>
                <c:pt idx="233">
                  <c:v>70.401050759929603</c:v>
                </c:pt>
                <c:pt idx="234">
                  <c:v>70.219096877183105</c:v>
                </c:pt>
                <c:pt idx="235">
                  <c:v>69.730032535494388</c:v>
                </c:pt>
                <c:pt idx="236">
                  <c:v>69.636578773918998</c:v>
                </c:pt>
                <c:pt idx="237">
                  <c:v>70.449241342085088</c:v>
                </c:pt>
                <c:pt idx="238">
                  <c:v>69.336502895375702</c:v>
                </c:pt>
                <c:pt idx="239">
                  <c:v>68.955139355332804</c:v>
                </c:pt>
                <c:pt idx="240">
                  <c:v>69.818742968741489</c:v>
                </c:pt>
                <c:pt idx="241">
                  <c:v>70.296129909607004</c:v>
                </c:pt>
                <c:pt idx="242">
                  <c:v>70.232803287039388</c:v>
                </c:pt>
                <c:pt idx="243">
                  <c:v>69.514356429494086</c:v>
                </c:pt>
                <c:pt idx="244">
                  <c:v>70.432261595384503</c:v>
                </c:pt>
                <c:pt idx="245">
                  <c:v>72.251937879404792</c:v>
                </c:pt>
                <c:pt idx="246">
                  <c:v>71.388677957901294</c:v>
                </c:pt>
                <c:pt idx="247">
                  <c:v>69.782982578506889</c:v>
                </c:pt>
                <c:pt idx="248">
                  <c:v>69.943419101894094</c:v>
                </c:pt>
                <c:pt idx="249">
                  <c:v>69.270817878748204</c:v>
                </c:pt>
                <c:pt idx="250">
                  <c:v>68.644839932697593</c:v>
                </c:pt>
                <c:pt idx="251">
                  <c:v>69.129143262972391</c:v>
                </c:pt>
                <c:pt idx="252">
                  <c:v>67.147390119719404</c:v>
                </c:pt>
                <c:pt idx="253">
                  <c:v>67.213424780973696</c:v>
                </c:pt>
                <c:pt idx="254">
                  <c:v>68.585537339460998</c:v>
                </c:pt>
                <c:pt idx="255">
                  <c:v>68.435199895819906</c:v>
                </c:pt>
                <c:pt idx="256">
                  <c:v>68.262487485415406</c:v>
                </c:pt>
                <c:pt idx="257">
                  <c:v>68.733090985165404</c:v>
                </c:pt>
                <c:pt idx="258">
                  <c:v>67.953319568903794</c:v>
                </c:pt>
                <c:pt idx="259">
                  <c:v>68.527095254575883</c:v>
                </c:pt>
                <c:pt idx="260">
                  <c:v>69.001216096058286</c:v>
                </c:pt>
                <c:pt idx="261">
                  <c:v>69.691977492525496</c:v>
                </c:pt>
                <c:pt idx="262">
                  <c:v>71.012887768445282</c:v>
                </c:pt>
                <c:pt idx="263">
                  <c:v>70.65040324526808</c:v>
                </c:pt>
                <c:pt idx="264">
                  <c:v>69.894044742831909</c:v>
                </c:pt>
                <c:pt idx="265">
                  <c:v>69.628785059558595</c:v>
                </c:pt>
                <c:pt idx="266">
                  <c:v>69.77507894445651</c:v>
                </c:pt>
                <c:pt idx="267">
                  <c:v>68.780167889922808</c:v>
                </c:pt>
                <c:pt idx="268">
                  <c:v>69.020291192475099</c:v>
                </c:pt>
                <c:pt idx="269">
                  <c:v>69.809650193815301</c:v>
                </c:pt>
                <c:pt idx="270">
                  <c:v>68.678491757667402</c:v>
                </c:pt>
                <c:pt idx="271">
                  <c:v>69.917622977541512</c:v>
                </c:pt>
                <c:pt idx="272">
                  <c:v>71.146586581269403</c:v>
                </c:pt>
                <c:pt idx="273">
                  <c:v>69.881864891197495</c:v>
                </c:pt>
                <c:pt idx="274">
                  <c:v>69.106113886705899</c:v>
                </c:pt>
                <c:pt idx="275">
                  <c:v>68.464847087591892</c:v>
                </c:pt>
                <c:pt idx="276">
                  <c:v>69.764620445331389</c:v>
                </c:pt>
                <c:pt idx="277">
                  <c:v>69.076536792348605</c:v>
                </c:pt>
                <c:pt idx="278">
                  <c:v>69.056299049875193</c:v>
                </c:pt>
                <c:pt idx="279">
                  <c:v>68.671978745072195</c:v>
                </c:pt>
                <c:pt idx="280">
                  <c:v>69.255267015259093</c:v>
                </c:pt>
                <c:pt idx="281">
                  <c:v>68.060225252361406</c:v>
                </c:pt>
                <c:pt idx="282">
                  <c:v>70.082537878786894</c:v>
                </c:pt>
                <c:pt idx="283">
                  <c:v>69.491474641056101</c:v>
                </c:pt>
                <c:pt idx="284">
                  <c:v>69.503968620688397</c:v>
                </c:pt>
                <c:pt idx="285">
                  <c:v>69.407703005360887</c:v>
                </c:pt>
                <c:pt idx="286">
                  <c:v>68.814115193258587</c:v>
                </c:pt>
                <c:pt idx="287">
                  <c:v>68.431125706225799</c:v>
                </c:pt>
                <c:pt idx="288">
                  <c:v>70.078585923843903</c:v>
                </c:pt>
                <c:pt idx="289">
                  <c:v>69.806759813500705</c:v>
                </c:pt>
                <c:pt idx="290">
                  <c:v>69.876188219210093</c:v>
                </c:pt>
                <c:pt idx="291">
                  <c:v>68.975124790604198</c:v>
                </c:pt>
                <c:pt idx="292">
                  <c:v>68.601641507032397</c:v>
                </c:pt>
                <c:pt idx="293">
                  <c:v>69.738827968521989</c:v>
                </c:pt>
                <c:pt idx="294">
                  <c:v>70.933666976336298</c:v>
                </c:pt>
                <c:pt idx="295">
                  <c:v>70.203551921080702</c:v>
                </c:pt>
                <c:pt idx="296">
                  <c:v>68.332005239621495</c:v>
                </c:pt>
                <c:pt idx="297">
                  <c:v>70.609600817150195</c:v>
                </c:pt>
                <c:pt idx="298">
                  <c:v>69.772916484170892</c:v>
                </c:pt>
                <c:pt idx="299">
                  <c:v>68.077191309564398</c:v>
                </c:pt>
                <c:pt idx="300">
                  <c:v>71.174617935659498</c:v>
                </c:pt>
                <c:pt idx="301">
                  <c:v>70.625629300738098</c:v>
                </c:pt>
                <c:pt idx="302">
                  <c:v>68.379315194046313</c:v>
                </c:pt>
                <c:pt idx="303">
                  <c:v>67.980789070779394</c:v>
                </c:pt>
                <c:pt idx="304">
                  <c:v>69.418205171696215</c:v>
                </c:pt>
                <c:pt idx="305">
                  <c:v>70.192982432355905</c:v>
                </c:pt>
                <c:pt idx="306">
                  <c:v>69.321448608757507</c:v>
                </c:pt>
                <c:pt idx="307">
                  <c:v>71.050136068923308</c:v>
                </c:pt>
                <c:pt idx="308">
                  <c:v>70.074677573175393</c:v>
                </c:pt>
                <c:pt idx="309">
                  <c:v>68.410567677636294</c:v>
                </c:pt>
                <c:pt idx="310">
                  <c:v>69.777414340518291</c:v>
                </c:pt>
                <c:pt idx="311">
                  <c:v>71.373994053715492</c:v>
                </c:pt>
                <c:pt idx="312">
                  <c:v>69.840414803098298</c:v>
                </c:pt>
                <c:pt idx="313">
                  <c:v>67.967340566084502</c:v>
                </c:pt>
                <c:pt idx="314">
                  <c:v>69.528546383956893</c:v>
                </c:pt>
                <c:pt idx="315">
                  <c:v>68.1017495309938</c:v>
                </c:pt>
                <c:pt idx="316">
                  <c:v>67.643270417363311</c:v>
                </c:pt>
                <c:pt idx="317">
                  <c:v>69.866125698967693</c:v>
                </c:pt>
                <c:pt idx="318">
                  <c:v>70.3480723198319</c:v>
                </c:pt>
                <c:pt idx="319">
                  <c:v>69.792092571989599</c:v>
                </c:pt>
                <c:pt idx="320">
                  <c:v>69.888010544480807</c:v>
                </c:pt>
                <c:pt idx="321">
                  <c:v>69.586204850566801</c:v>
                </c:pt>
                <c:pt idx="322">
                  <c:v>68.367906017288803</c:v>
                </c:pt>
                <c:pt idx="323">
                  <c:v>70.200981735625092</c:v>
                </c:pt>
                <c:pt idx="324">
                  <c:v>71.673448513909989</c:v>
                </c:pt>
                <c:pt idx="325">
                  <c:v>70.926410166843496</c:v>
                </c:pt>
                <c:pt idx="326">
                  <c:v>69.964317449240994</c:v>
                </c:pt>
                <c:pt idx="327">
                  <c:v>71.720778992137994</c:v>
                </c:pt>
                <c:pt idx="328">
                  <c:v>70.552468284592294</c:v>
                </c:pt>
                <c:pt idx="329">
                  <c:v>69.362935259930282</c:v>
                </c:pt>
                <c:pt idx="330">
                  <c:v>69.638197017181312</c:v>
                </c:pt>
                <c:pt idx="331">
                  <c:v>71.227103423926593</c:v>
                </c:pt>
                <c:pt idx="332">
                  <c:v>72.148570268233087</c:v>
                </c:pt>
                <c:pt idx="333">
                  <c:v>70.467664915198199</c:v>
                </c:pt>
                <c:pt idx="334">
                  <c:v>69.666889875996091</c:v>
                </c:pt>
                <c:pt idx="335">
                  <c:v>68.109681089123313</c:v>
                </c:pt>
                <c:pt idx="336">
                  <c:v>68.420248689917088</c:v>
                </c:pt>
                <c:pt idx="337">
                  <c:v>68.560642965923989</c:v>
                </c:pt>
                <c:pt idx="338">
                  <c:v>68.487510005057288</c:v>
                </c:pt>
                <c:pt idx="339">
                  <c:v>70.894339279276608</c:v>
                </c:pt>
                <c:pt idx="340">
                  <c:v>69.994745516440986</c:v>
                </c:pt>
                <c:pt idx="341">
                  <c:v>69.015134417353011</c:v>
                </c:pt>
                <c:pt idx="342">
                  <c:v>69.591971427558789</c:v>
                </c:pt>
                <c:pt idx="343">
                  <c:v>71.097587677934897</c:v>
                </c:pt>
                <c:pt idx="344">
                  <c:v>71.124947149738205</c:v>
                </c:pt>
                <c:pt idx="345">
                  <c:v>72.775925458832205</c:v>
                </c:pt>
                <c:pt idx="346">
                  <c:v>71.049507592335104</c:v>
                </c:pt>
                <c:pt idx="347">
                  <c:v>69.839013324512607</c:v>
                </c:pt>
                <c:pt idx="348">
                  <c:v>69.688115777348003</c:v>
                </c:pt>
                <c:pt idx="349">
                  <c:v>71.040775511036699</c:v>
                </c:pt>
                <c:pt idx="350">
                  <c:v>70.984753352385781</c:v>
                </c:pt>
                <c:pt idx="351">
                  <c:v>69.917227729015593</c:v>
                </c:pt>
                <c:pt idx="352">
                  <c:v>68.5379313248703</c:v>
                </c:pt>
                <c:pt idx="353">
                  <c:v>69.216040052637183</c:v>
                </c:pt>
                <c:pt idx="354">
                  <c:v>71.082840182765992</c:v>
                </c:pt>
                <c:pt idx="355">
                  <c:v>70.293660672326595</c:v>
                </c:pt>
                <c:pt idx="356">
                  <c:v>70.151800627309896</c:v>
                </c:pt>
                <c:pt idx="357">
                  <c:v>70.053926713804998</c:v>
                </c:pt>
                <c:pt idx="358">
                  <c:v>70.571063524350208</c:v>
                </c:pt>
                <c:pt idx="359">
                  <c:v>69.421323680817494</c:v>
                </c:pt>
                <c:pt idx="360">
                  <c:v>71.472640958142904</c:v>
                </c:pt>
                <c:pt idx="361">
                  <c:v>69.600092845551799</c:v>
                </c:pt>
                <c:pt idx="362">
                  <c:v>68.784631086062404</c:v>
                </c:pt>
                <c:pt idx="363">
                  <c:v>70.08579037085218</c:v>
                </c:pt>
                <c:pt idx="364">
                  <c:v>70.514397947326998</c:v>
                </c:pt>
                <c:pt idx="365">
                  <c:v>70.8459420886023</c:v>
                </c:pt>
                <c:pt idx="366">
                  <c:v>69.658235317093897</c:v>
                </c:pt>
                <c:pt idx="367">
                  <c:v>69.253691117301798</c:v>
                </c:pt>
                <c:pt idx="368">
                  <c:v>69.506246730408392</c:v>
                </c:pt>
                <c:pt idx="369">
                  <c:v>71.242612298792196</c:v>
                </c:pt>
                <c:pt idx="370">
                  <c:v>71.368768789347698</c:v>
                </c:pt>
                <c:pt idx="371">
                  <c:v>70.973777219885491</c:v>
                </c:pt>
                <c:pt idx="372">
                  <c:v>69.360419178008982</c:v>
                </c:pt>
                <c:pt idx="373">
                  <c:v>70.046184125737099</c:v>
                </c:pt>
                <c:pt idx="374">
                  <c:v>70.269492802236002</c:v>
                </c:pt>
                <c:pt idx="375">
                  <c:v>71.337010347968089</c:v>
                </c:pt>
                <c:pt idx="376">
                  <c:v>72.427848324933407</c:v>
                </c:pt>
                <c:pt idx="377">
                  <c:v>70.530560419168495</c:v>
                </c:pt>
                <c:pt idx="378">
                  <c:v>68.953089388915799</c:v>
                </c:pt>
                <c:pt idx="379">
                  <c:v>68.162002320624794</c:v>
                </c:pt>
                <c:pt idx="380">
                  <c:v>68.843751963001083</c:v>
                </c:pt>
                <c:pt idx="381">
                  <c:v>69.287610805520401</c:v>
                </c:pt>
                <c:pt idx="382">
                  <c:v>70.043329987243709</c:v>
                </c:pt>
                <c:pt idx="383">
                  <c:v>69.871971286074896</c:v>
                </c:pt>
                <c:pt idx="384">
                  <c:v>69.384847051555298</c:v>
                </c:pt>
                <c:pt idx="385">
                  <c:v>70.441849415440601</c:v>
                </c:pt>
                <c:pt idx="386">
                  <c:v>69.348614826147397</c:v>
                </c:pt>
                <c:pt idx="387">
                  <c:v>69.661860243463195</c:v>
                </c:pt>
                <c:pt idx="388">
                  <c:v>69.412517908864601</c:v>
                </c:pt>
                <c:pt idx="389">
                  <c:v>70.277557900088382</c:v>
                </c:pt>
                <c:pt idx="390">
                  <c:v>71.445753178933799</c:v>
                </c:pt>
                <c:pt idx="391">
                  <c:v>70.292816574618286</c:v>
                </c:pt>
                <c:pt idx="392">
                  <c:v>69.955628818880584</c:v>
                </c:pt>
                <c:pt idx="393">
                  <c:v>69.812632025060097</c:v>
                </c:pt>
                <c:pt idx="394">
                  <c:v>68.925924689901592</c:v>
                </c:pt>
                <c:pt idx="395">
                  <c:v>69.437121012804695</c:v>
                </c:pt>
                <c:pt idx="396">
                  <c:v>70.060654956218499</c:v>
                </c:pt>
                <c:pt idx="397">
                  <c:v>70.378461644043099</c:v>
                </c:pt>
                <c:pt idx="398">
                  <c:v>69.805679858592882</c:v>
                </c:pt>
                <c:pt idx="399">
                  <c:v>69.603360557227901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8-488A-908E-3A02BFCE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670191"/>
        <c:axId val="1120670671"/>
      </c:lineChart>
      <c:catAx>
        <c:axId val="1120670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70671"/>
        <c:crosses val="autoZero"/>
        <c:auto val="1"/>
        <c:lblAlgn val="ctr"/>
        <c:lblOffset val="100"/>
        <c:noMultiLvlLbl val="0"/>
      </c:catAx>
      <c:valAx>
        <c:axId val="11206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7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MA(1)</a:t>
            </a:r>
            <a:r>
              <a:rPr lang="en-US" b="1" baseline="0"/>
              <a:t> AR(0)</a:t>
            </a:r>
            <a:endParaRPr lang="id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'MA(1) AR(0)'!$C$1</c:f>
              <c:strCache>
                <c:ptCount val="1"/>
                <c:pt idx="0">
                  <c:v>data (Yt aktual)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77000"/>
                </a:schemeClr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val>
            <c:numRef>
              <c:f>'MA(1) AR(0)'!$C$2:$C$401</c:f>
              <c:numCache>
                <c:formatCode>General</c:formatCode>
                <c:ptCount val="400"/>
                <c:pt idx="0">
                  <c:v>68.346715680000003</c:v>
                </c:pt>
                <c:pt idx="1">
                  <c:v>69.648484909999993</c:v>
                </c:pt>
                <c:pt idx="2">
                  <c:v>69.340707750000007</c:v>
                </c:pt>
                <c:pt idx="3">
                  <c:v>69.947982330000002</c:v>
                </c:pt>
                <c:pt idx="4">
                  <c:v>68.760614149999995</c:v>
                </c:pt>
                <c:pt idx="5">
                  <c:v>68.681916150000006</c:v>
                </c:pt>
                <c:pt idx="6">
                  <c:v>69.470476039999994</c:v>
                </c:pt>
                <c:pt idx="7">
                  <c:v>68.417010970000007</c:v>
                </c:pt>
                <c:pt idx="8">
                  <c:v>69.324211640000001</c:v>
                </c:pt>
                <c:pt idx="9">
                  <c:v>69.690276130000001</c:v>
                </c:pt>
                <c:pt idx="10">
                  <c:v>68.274545989999993</c:v>
                </c:pt>
                <c:pt idx="11">
                  <c:v>67.754401999999999</c:v>
                </c:pt>
                <c:pt idx="12">
                  <c:v>69.775397490000003</c:v>
                </c:pt>
                <c:pt idx="13">
                  <c:v>71.434473879999999</c:v>
                </c:pt>
                <c:pt idx="14">
                  <c:v>70.796156440000004</c:v>
                </c:pt>
                <c:pt idx="15">
                  <c:v>70.452113510000004</c:v>
                </c:pt>
                <c:pt idx="16">
                  <c:v>70.256264740000006</c:v>
                </c:pt>
                <c:pt idx="17">
                  <c:v>70.347747769999998</c:v>
                </c:pt>
                <c:pt idx="18">
                  <c:v>71.417753250000004</c:v>
                </c:pt>
                <c:pt idx="19">
                  <c:v>69.239329220000002</c:v>
                </c:pt>
                <c:pt idx="20">
                  <c:v>69.794732289999999</c:v>
                </c:pt>
                <c:pt idx="21">
                  <c:v>69.723031649999996</c:v>
                </c:pt>
                <c:pt idx="22">
                  <c:v>69.671140370000003</c:v>
                </c:pt>
                <c:pt idx="23">
                  <c:v>69.583524999999995</c:v>
                </c:pt>
                <c:pt idx="24">
                  <c:v>69.473625769999998</c:v>
                </c:pt>
                <c:pt idx="25">
                  <c:v>68.582921769999999</c:v>
                </c:pt>
                <c:pt idx="26">
                  <c:v>69.491004529999998</c:v>
                </c:pt>
                <c:pt idx="27">
                  <c:v>71.790669219999998</c:v>
                </c:pt>
                <c:pt idx="28">
                  <c:v>71.170967149999996</c:v>
                </c:pt>
                <c:pt idx="29">
                  <c:v>70.163994479999999</c:v>
                </c:pt>
                <c:pt idx="30">
                  <c:v>69.059807509999999</c:v>
                </c:pt>
                <c:pt idx="31">
                  <c:v>69.269211609999999</c:v>
                </c:pt>
                <c:pt idx="32">
                  <c:v>70.309751140000003</c:v>
                </c:pt>
                <c:pt idx="33">
                  <c:v>70.034844759999999</c:v>
                </c:pt>
                <c:pt idx="34">
                  <c:v>69.474177470000001</c:v>
                </c:pt>
                <c:pt idx="35">
                  <c:v>70.077317600000001</c:v>
                </c:pt>
                <c:pt idx="36">
                  <c:v>69.286132550000005</c:v>
                </c:pt>
                <c:pt idx="37">
                  <c:v>69.800980879999997</c:v>
                </c:pt>
                <c:pt idx="38">
                  <c:v>70.915070560000004</c:v>
                </c:pt>
                <c:pt idx="39">
                  <c:v>71.968696609999995</c:v>
                </c:pt>
                <c:pt idx="40">
                  <c:v>70.816314790000007</c:v>
                </c:pt>
                <c:pt idx="41">
                  <c:v>71.266777129999994</c:v>
                </c:pt>
                <c:pt idx="42">
                  <c:v>71.54958173</c:v>
                </c:pt>
                <c:pt idx="43">
                  <c:v>69.553503259999999</c:v>
                </c:pt>
                <c:pt idx="44">
                  <c:v>68.049288919999995</c:v>
                </c:pt>
                <c:pt idx="45">
                  <c:v>68.658558740000004</c:v>
                </c:pt>
                <c:pt idx="46">
                  <c:v>70.809284059999996</c:v>
                </c:pt>
                <c:pt idx="47">
                  <c:v>70.81571581</c:v>
                </c:pt>
                <c:pt idx="48">
                  <c:v>69.645986710000003</c:v>
                </c:pt>
                <c:pt idx="49">
                  <c:v>71.095120460000004</c:v>
                </c:pt>
                <c:pt idx="50">
                  <c:v>71.050180749999996</c:v>
                </c:pt>
                <c:pt idx="51">
                  <c:v>67.980978039999997</c:v>
                </c:pt>
                <c:pt idx="52">
                  <c:v>68.790693219999994</c:v>
                </c:pt>
                <c:pt idx="53">
                  <c:v>70.400163140000004</c:v>
                </c:pt>
                <c:pt idx="54">
                  <c:v>70.828498569999994</c:v>
                </c:pt>
                <c:pt idx="55">
                  <c:v>70.826762299999999</c:v>
                </c:pt>
                <c:pt idx="56">
                  <c:v>70.180232200000006</c:v>
                </c:pt>
                <c:pt idx="57">
                  <c:v>68.541714760000005</c:v>
                </c:pt>
                <c:pt idx="58">
                  <c:v>68.700255189999993</c:v>
                </c:pt>
                <c:pt idx="59">
                  <c:v>68.71202289</c:v>
                </c:pt>
                <c:pt idx="60">
                  <c:v>68.684396269999993</c:v>
                </c:pt>
                <c:pt idx="61">
                  <c:v>68.333962540000002</c:v>
                </c:pt>
                <c:pt idx="62">
                  <c:v>69.847547739999996</c:v>
                </c:pt>
                <c:pt idx="63">
                  <c:v>70.506236029999997</c:v>
                </c:pt>
                <c:pt idx="64">
                  <c:v>69.901311930000006</c:v>
                </c:pt>
                <c:pt idx="65">
                  <c:v>69.139578420000007</c:v>
                </c:pt>
                <c:pt idx="66">
                  <c:v>69.489930369999996</c:v>
                </c:pt>
                <c:pt idx="67">
                  <c:v>71.031279420000004</c:v>
                </c:pt>
                <c:pt idx="68">
                  <c:v>68.767572830000006</c:v>
                </c:pt>
                <c:pt idx="69">
                  <c:v>69.328036389999994</c:v>
                </c:pt>
                <c:pt idx="70">
                  <c:v>69.420838009999997</c:v>
                </c:pt>
                <c:pt idx="71">
                  <c:v>67.969506050000007</c:v>
                </c:pt>
                <c:pt idx="72">
                  <c:v>67.009749139999997</c:v>
                </c:pt>
                <c:pt idx="73">
                  <c:v>67.902214180000001</c:v>
                </c:pt>
                <c:pt idx="74">
                  <c:v>69.857913319999994</c:v>
                </c:pt>
                <c:pt idx="75">
                  <c:v>70.937146670000004</c:v>
                </c:pt>
                <c:pt idx="76">
                  <c:v>69.665932440000006</c:v>
                </c:pt>
                <c:pt idx="77">
                  <c:v>70.535436450000006</c:v>
                </c:pt>
                <c:pt idx="78">
                  <c:v>71.844465639999996</c:v>
                </c:pt>
                <c:pt idx="79">
                  <c:v>71.342135029999994</c:v>
                </c:pt>
                <c:pt idx="80">
                  <c:v>69.66053866</c:v>
                </c:pt>
                <c:pt idx="81">
                  <c:v>70.518101869999995</c:v>
                </c:pt>
                <c:pt idx="82">
                  <c:v>71.168095219999998</c:v>
                </c:pt>
                <c:pt idx="83">
                  <c:v>71.412833980000002</c:v>
                </c:pt>
                <c:pt idx="84">
                  <c:v>69.840808150000001</c:v>
                </c:pt>
                <c:pt idx="85">
                  <c:v>66.646080190000006</c:v>
                </c:pt>
                <c:pt idx="86">
                  <c:v>70.152196689999997</c:v>
                </c:pt>
                <c:pt idx="87">
                  <c:v>69.486615549999996</c:v>
                </c:pt>
                <c:pt idx="88">
                  <c:v>69.610542249999995</c:v>
                </c:pt>
                <c:pt idx="89">
                  <c:v>72.301086040000001</c:v>
                </c:pt>
                <c:pt idx="90">
                  <c:v>71.828065699999996</c:v>
                </c:pt>
                <c:pt idx="91">
                  <c:v>71.355760079999996</c:v>
                </c:pt>
                <c:pt idx="92">
                  <c:v>68.762639770000007</c:v>
                </c:pt>
                <c:pt idx="93">
                  <c:v>67.073188880000004</c:v>
                </c:pt>
                <c:pt idx="94">
                  <c:v>68.082418610000005</c:v>
                </c:pt>
                <c:pt idx="95">
                  <c:v>70.818244230000005</c:v>
                </c:pt>
                <c:pt idx="96">
                  <c:v>70.719971509999993</c:v>
                </c:pt>
                <c:pt idx="97">
                  <c:v>69.391873320000002</c:v>
                </c:pt>
                <c:pt idx="98">
                  <c:v>69.617099830000001</c:v>
                </c:pt>
                <c:pt idx="99">
                  <c:v>71.034633119999995</c:v>
                </c:pt>
                <c:pt idx="100">
                  <c:v>69.290709719999995</c:v>
                </c:pt>
                <c:pt idx="101">
                  <c:v>68.053492899999995</c:v>
                </c:pt>
                <c:pt idx="102">
                  <c:v>68.25621357</c:v>
                </c:pt>
                <c:pt idx="103">
                  <c:v>70.632318650000002</c:v>
                </c:pt>
                <c:pt idx="104">
                  <c:v>71.137348639999999</c:v>
                </c:pt>
                <c:pt idx="105">
                  <c:v>72.624866999999995</c:v>
                </c:pt>
                <c:pt idx="106">
                  <c:v>72.170161329999999</c:v>
                </c:pt>
                <c:pt idx="107">
                  <c:v>70.479541519999998</c:v>
                </c:pt>
                <c:pt idx="108">
                  <c:v>70.901754350000004</c:v>
                </c:pt>
                <c:pt idx="109">
                  <c:v>70.608687169999996</c:v>
                </c:pt>
                <c:pt idx="110">
                  <c:v>69.389764639999996</c:v>
                </c:pt>
                <c:pt idx="111">
                  <c:v>70.131227480000007</c:v>
                </c:pt>
                <c:pt idx="112">
                  <c:v>69.565480440000002</c:v>
                </c:pt>
                <c:pt idx="113">
                  <c:v>69.409522920000001</c:v>
                </c:pt>
                <c:pt idx="114">
                  <c:v>71.103852320000001</c:v>
                </c:pt>
                <c:pt idx="115">
                  <c:v>70.738173029999999</c:v>
                </c:pt>
                <c:pt idx="116">
                  <c:v>69.308606729999994</c:v>
                </c:pt>
                <c:pt idx="117">
                  <c:v>68.899374440000003</c:v>
                </c:pt>
                <c:pt idx="118">
                  <c:v>70.568833229999996</c:v>
                </c:pt>
                <c:pt idx="119">
                  <c:v>70.118946930000007</c:v>
                </c:pt>
                <c:pt idx="120">
                  <c:v>69.513847339999998</c:v>
                </c:pt>
                <c:pt idx="121">
                  <c:v>69.162331589999994</c:v>
                </c:pt>
                <c:pt idx="122">
                  <c:v>69.827170240000001</c:v>
                </c:pt>
                <c:pt idx="123">
                  <c:v>69.762112909999999</c:v>
                </c:pt>
                <c:pt idx="124">
                  <c:v>68.30728062</c:v>
                </c:pt>
                <c:pt idx="125">
                  <c:v>68.168553560000007</c:v>
                </c:pt>
                <c:pt idx="126">
                  <c:v>68.476158909999995</c:v>
                </c:pt>
                <c:pt idx="127">
                  <c:v>70.878448660000004</c:v>
                </c:pt>
                <c:pt idx="128">
                  <c:v>71.796895570000004</c:v>
                </c:pt>
                <c:pt idx="129">
                  <c:v>71.401862120000004</c:v>
                </c:pt>
                <c:pt idx="130">
                  <c:v>69.796690290000001</c:v>
                </c:pt>
                <c:pt idx="131">
                  <c:v>68.641663989999998</c:v>
                </c:pt>
                <c:pt idx="132">
                  <c:v>68.738473709999994</c:v>
                </c:pt>
                <c:pt idx="133">
                  <c:v>68.598704920000003</c:v>
                </c:pt>
                <c:pt idx="134">
                  <c:v>72.034881229999996</c:v>
                </c:pt>
                <c:pt idx="135">
                  <c:v>69.39599561</c:v>
                </c:pt>
                <c:pt idx="136">
                  <c:v>69.591141530000002</c:v>
                </c:pt>
                <c:pt idx="137">
                  <c:v>68.651333940000001</c:v>
                </c:pt>
                <c:pt idx="138">
                  <c:v>69.209114409999998</c:v>
                </c:pt>
                <c:pt idx="139">
                  <c:v>68.942066519999997</c:v>
                </c:pt>
                <c:pt idx="140">
                  <c:v>68.42487663</c:v>
                </c:pt>
                <c:pt idx="141">
                  <c:v>68.232109719999997</c:v>
                </c:pt>
                <c:pt idx="142">
                  <c:v>71.166788999999994</c:v>
                </c:pt>
                <c:pt idx="143">
                  <c:v>71.097452059999995</c:v>
                </c:pt>
                <c:pt idx="144">
                  <c:v>69.542732340000001</c:v>
                </c:pt>
                <c:pt idx="145">
                  <c:v>69.95219075</c:v>
                </c:pt>
                <c:pt idx="146">
                  <c:v>70.118844060000001</c:v>
                </c:pt>
                <c:pt idx="147">
                  <c:v>70.805682970000007</c:v>
                </c:pt>
                <c:pt idx="148">
                  <c:v>68.623499910000007</c:v>
                </c:pt>
                <c:pt idx="149">
                  <c:v>69.235998960000003</c:v>
                </c:pt>
                <c:pt idx="150">
                  <c:v>70.727244240000005</c:v>
                </c:pt>
                <c:pt idx="151">
                  <c:v>69.003948570000006</c:v>
                </c:pt>
                <c:pt idx="152">
                  <c:v>69.632391150000004</c:v>
                </c:pt>
                <c:pt idx="153">
                  <c:v>71.77443169</c:v>
                </c:pt>
                <c:pt idx="154">
                  <c:v>71.160083970000002</c:v>
                </c:pt>
                <c:pt idx="155">
                  <c:v>70.985126809999997</c:v>
                </c:pt>
                <c:pt idx="156">
                  <c:v>70.91362135</c:v>
                </c:pt>
                <c:pt idx="157">
                  <c:v>69.545129070000002</c:v>
                </c:pt>
                <c:pt idx="158">
                  <c:v>69.492757769999997</c:v>
                </c:pt>
                <c:pt idx="159">
                  <c:v>68.265121230000005</c:v>
                </c:pt>
                <c:pt idx="160">
                  <c:v>68.659942369999996</c:v>
                </c:pt>
                <c:pt idx="161">
                  <c:v>69.982117029999998</c:v>
                </c:pt>
                <c:pt idx="162">
                  <c:v>71.114388000000005</c:v>
                </c:pt>
                <c:pt idx="163">
                  <c:v>70.698609820000001</c:v>
                </c:pt>
                <c:pt idx="164">
                  <c:v>70.804833220000006</c:v>
                </c:pt>
                <c:pt idx="165">
                  <c:v>69.170410770000004</c:v>
                </c:pt>
                <c:pt idx="166">
                  <c:v>69.159099220000002</c:v>
                </c:pt>
                <c:pt idx="167">
                  <c:v>69.763615689999995</c:v>
                </c:pt>
                <c:pt idx="168">
                  <c:v>71.960030889999999</c:v>
                </c:pt>
                <c:pt idx="169">
                  <c:v>71.03276717</c:v>
                </c:pt>
                <c:pt idx="170">
                  <c:v>69.532634400000006</c:v>
                </c:pt>
                <c:pt idx="171">
                  <c:v>69.431101709999993</c:v>
                </c:pt>
                <c:pt idx="172">
                  <c:v>68.879757260000005</c:v>
                </c:pt>
                <c:pt idx="173">
                  <c:v>69.691277690000007</c:v>
                </c:pt>
                <c:pt idx="174">
                  <c:v>69.785784219999996</c:v>
                </c:pt>
                <c:pt idx="175">
                  <c:v>68.172759679999999</c:v>
                </c:pt>
                <c:pt idx="176">
                  <c:v>68.909333989999993</c:v>
                </c:pt>
                <c:pt idx="177">
                  <c:v>69.576229400000003</c:v>
                </c:pt>
                <c:pt idx="178">
                  <c:v>68.440514140000005</c:v>
                </c:pt>
                <c:pt idx="179">
                  <c:v>69.124305509999999</c:v>
                </c:pt>
                <c:pt idx="180">
                  <c:v>71.43178503</c:v>
                </c:pt>
                <c:pt idx="181">
                  <c:v>71.643083110000006</c:v>
                </c:pt>
                <c:pt idx="182">
                  <c:v>71.168241550000005</c:v>
                </c:pt>
                <c:pt idx="183">
                  <c:v>68.866523270000002</c:v>
                </c:pt>
                <c:pt idx="184">
                  <c:v>69.446339870000003</c:v>
                </c:pt>
                <c:pt idx="185">
                  <c:v>70.156296519999998</c:v>
                </c:pt>
                <c:pt idx="186">
                  <c:v>70.788921189999996</c:v>
                </c:pt>
                <c:pt idx="187">
                  <c:v>70.849092380000002</c:v>
                </c:pt>
                <c:pt idx="188">
                  <c:v>68.912998349999995</c:v>
                </c:pt>
                <c:pt idx="189">
                  <c:v>69.051670479999999</c:v>
                </c:pt>
                <c:pt idx="190">
                  <c:v>68.99923192</c:v>
                </c:pt>
                <c:pt idx="191">
                  <c:v>69.633953919999996</c:v>
                </c:pt>
                <c:pt idx="192">
                  <c:v>69.183201850000003</c:v>
                </c:pt>
                <c:pt idx="193">
                  <c:v>70.932205300000007</c:v>
                </c:pt>
                <c:pt idx="194">
                  <c:v>69.945390239999995</c:v>
                </c:pt>
                <c:pt idx="195">
                  <c:v>68.788630400000002</c:v>
                </c:pt>
                <c:pt idx="196">
                  <c:v>69.36414757</c:v>
                </c:pt>
                <c:pt idx="197">
                  <c:v>68.904800359999996</c:v>
                </c:pt>
                <c:pt idx="198">
                  <c:v>69.108972640000005</c:v>
                </c:pt>
                <c:pt idx="199">
                  <c:v>68.963978879999999</c:v>
                </c:pt>
                <c:pt idx="200">
                  <c:v>71.056867600000004</c:v>
                </c:pt>
                <c:pt idx="201">
                  <c:v>71.730730719999997</c:v>
                </c:pt>
                <c:pt idx="202">
                  <c:v>70.663908640000002</c:v>
                </c:pt>
                <c:pt idx="203">
                  <c:v>69.487908910000002</c:v>
                </c:pt>
                <c:pt idx="204">
                  <c:v>70.434490370000006</c:v>
                </c:pt>
                <c:pt idx="205">
                  <c:v>70.819525630000001</c:v>
                </c:pt>
                <c:pt idx="206">
                  <c:v>70.859420670000006</c:v>
                </c:pt>
                <c:pt idx="207">
                  <c:v>70.243602480000007</c:v>
                </c:pt>
                <c:pt idx="208">
                  <c:v>68.200105260000001</c:v>
                </c:pt>
                <c:pt idx="209">
                  <c:v>68.734516429999999</c:v>
                </c:pt>
                <c:pt idx="210">
                  <c:v>69.24818836</c:v>
                </c:pt>
                <c:pt idx="211">
                  <c:v>70.573613359999996</c:v>
                </c:pt>
                <c:pt idx="212">
                  <c:v>71.581553940000006</c:v>
                </c:pt>
                <c:pt idx="213">
                  <c:v>70.118897309999994</c:v>
                </c:pt>
                <c:pt idx="214">
                  <c:v>70.065257439999996</c:v>
                </c:pt>
                <c:pt idx="215">
                  <c:v>71.739364269999996</c:v>
                </c:pt>
                <c:pt idx="216">
                  <c:v>70.356328610000006</c:v>
                </c:pt>
                <c:pt idx="217">
                  <c:v>71.373909620000006</c:v>
                </c:pt>
                <c:pt idx="218">
                  <c:v>69.864861349999998</c:v>
                </c:pt>
                <c:pt idx="219">
                  <c:v>69.529703679999997</c:v>
                </c:pt>
                <c:pt idx="220">
                  <c:v>69.747218189999998</c:v>
                </c:pt>
                <c:pt idx="221">
                  <c:v>70.000918709999993</c:v>
                </c:pt>
                <c:pt idx="222">
                  <c:v>69.238707730000002</c:v>
                </c:pt>
                <c:pt idx="223">
                  <c:v>68.95176592</c:v>
                </c:pt>
                <c:pt idx="224">
                  <c:v>68.931726949999998</c:v>
                </c:pt>
                <c:pt idx="225">
                  <c:v>70.000468990000002</c:v>
                </c:pt>
                <c:pt idx="226">
                  <c:v>70.650798420000001</c:v>
                </c:pt>
                <c:pt idx="227">
                  <c:v>72.616282690000006</c:v>
                </c:pt>
                <c:pt idx="228">
                  <c:v>72.745519090000002</c:v>
                </c:pt>
                <c:pt idx="229">
                  <c:v>70.352583409999994</c:v>
                </c:pt>
                <c:pt idx="230">
                  <c:v>69.712763929999994</c:v>
                </c:pt>
                <c:pt idx="231">
                  <c:v>70.719001320000004</c:v>
                </c:pt>
                <c:pt idx="232">
                  <c:v>70.548173439999999</c:v>
                </c:pt>
                <c:pt idx="233">
                  <c:v>70.043562089999995</c:v>
                </c:pt>
                <c:pt idx="234">
                  <c:v>69.913260159999993</c:v>
                </c:pt>
                <c:pt idx="235">
                  <c:v>70.802164099999999</c:v>
                </c:pt>
                <c:pt idx="236">
                  <c:v>69.658999890000004</c:v>
                </c:pt>
                <c:pt idx="237">
                  <c:v>69.229081230000006</c:v>
                </c:pt>
                <c:pt idx="238">
                  <c:v>70.110181920000002</c:v>
                </c:pt>
                <c:pt idx="239">
                  <c:v>70.608831850000001</c:v>
                </c:pt>
                <c:pt idx="240">
                  <c:v>70.571827299999995</c:v>
                </c:pt>
                <c:pt idx="241">
                  <c:v>69.790645659999996</c:v>
                </c:pt>
                <c:pt idx="242">
                  <c:v>70.675374989999995</c:v>
                </c:pt>
                <c:pt idx="243">
                  <c:v>72.601899549999999</c:v>
                </c:pt>
                <c:pt idx="244">
                  <c:v>71.764942719999993</c:v>
                </c:pt>
                <c:pt idx="245">
                  <c:v>70.085219069999994</c:v>
                </c:pt>
                <c:pt idx="246">
                  <c:v>70.277388909999999</c:v>
                </c:pt>
                <c:pt idx="247">
                  <c:v>69.601734989999997</c:v>
                </c:pt>
                <c:pt idx="248">
                  <c:v>68.928133979999998</c:v>
                </c:pt>
                <c:pt idx="249">
                  <c:v>69.509168639999999</c:v>
                </c:pt>
                <c:pt idx="250">
                  <c:v>67.444264360000005</c:v>
                </c:pt>
                <c:pt idx="251">
                  <c:v>67.459857659999997</c:v>
                </c:pt>
                <c:pt idx="252">
                  <c:v>68.894673429999997</c:v>
                </c:pt>
                <c:pt idx="253">
                  <c:v>68.745457900000005</c:v>
                </c:pt>
                <c:pt idx="254">
                  <c:v>68.546229609999997</c:v>
                </c:pt>
                <c:pt idx="255">
                  <c:v>69.067352060000005</c:v>
                </c:pt>
                <c:pt idx="256">
                  <c:v>68.233577060000002</c:v>
                </c:pt>
                <c:pt idx="257">
                  <c:v>68.813868819999996</c:v>
                </c:pt>
                <c:pt idx="258">
                  <c:v>69.282978009999994</c:v>
                </c:pt>
                <c:pt idx="259">
                  <c:v>69.951031369999995</c:v>
                </c:pt>
                <c:pt idx="260">
                  <c:v>71.339909449999993</c:v>
                </c:pt>
                <c:pt idx="261">
                  <c:v>70.991140669999993</c:v>
                </c:pt>
                <c:pt idx="262">
                  <c:v>70.213773590000002</c:v>
                </c:pt>
                <c:pt idx="263">
                  <c:v>69.930376409999994</c:v>
                </c:pt>
                <c:pt idx="264">
                  <c:v>70.121486540000006</c:v>
                </c:pt>
                <c:pt idx="265">
                  <c:v>69.077040350000004</c:v>
                </c:pt>
                <c:pt idx="266">
                  <c:v>69.295002920000002</c:v>
                </c:pt>
                <c:pt idx="267">
                  <c:v>70.162640890000006</c:v>
                </c:pt>
                <c:pt idx="268">
                  <c:v>68.938323670000003</c:v>
                </c:pt>
                <c:pt idx="269">
                  <c:v>70.179854860000006</c:v>
                </c:pt>
                <c:pt idx="270">
                  <c:v>71.507791850000004</c:v>
                </c:pt>
                <c:pt idx="271">
                  <c:v>70.219342659999995</c:v>
                </c:pt>
                <c:pt idx="272">
                  <c:v>69.437930249999994</c:v>
                </c:pt>
                <c:pt idx="273">
                  <c:v>68.718765009999998</c:v>
                </c:pt>
                <c:pt idx="274">
                  <c:v>70.099260409999999</c:v>
                </c:pt>
                <c:pt idx="275">
                  <c:v>69.382704459999999</c:v>
                </c:pt>
                <c:pt idx="276">
                  <c:v>69.377367539999995</c:v>
                </c:pt>
                <c:pt idx="277">
                  <c:v>68.952689280000001</c:v>
                </c:pt>
                <c:pt idx="278">
                  <c:v>69.609357579999994</c:v>
                </c:pt>
                <c:pt idx="279">
                  <c:v>68.285578490000006</c:v>
                </c:pt>
                <c:pt idx="280">
                  <c:v>70.415001459999999</c:v>
                </c:pt>
                <c:pt idx="281">
                  <c:v>69.79872091</c:v>
                </c:pt>
                <c:pt idx="282">
                  <c:v>69.814626790000005</c:v>
                </c:pt>
                <c:pt idx="283">
                  <c:v>69.736636759999996</c:v>
                </c:pt>
                <c:pt idx="284">
                  <c:v>69.135479509999996</c:v>
                </c:pt>
                <c:pt idx="285">
                  <c:v>68.672516540000004</c:v>
                </c:pt>
                <c:pt idx="286">
                  <c:v>70.399264619999997</c:v>
                </c:pt>
                <c:pt idx="287">
                  <c:v>70.112163210000006</c:v>
                </c:pt>
                <c:pt idx="288">
                  <c:v>70.218688729999997</c:v>
                </c:pt>
                <c:pt idx="289">
                  <c:v>69.296067390000005</c:v>
                </c:pt>
                <c:pt idx="290">
                  <c:v>68.864852380000002</c:v>
                </c:pt>
                <c:pt idx="291">
                  <c:v>70.002338359999996</c:v>
                </c:pt>
                <c:pt idx="292">
                  <c:v>71.2723558</c:v>
                </c:pt>
                <c:pt idx="293">
                  <c:v>70.587395569999998</c:v>
                </c:pt>
                <c:pt idx="294">
                  <c:v>68.54881073</c:v>
                </c:pt>
                <c:pt idx="295">
                  <c:v>70.951023849999999</c:v>
                </c:pt>
                <c:pt idx="296">
                  <c:v>70.149421779999997</c:v>
                </c:pt>
                <c:pt idx="297">
                  <c:v>68.262758509999998</c:v>
                </c:pt>
                <c:pt idx="298">
                  <c:v>71.507253160000005</c:v>
                </c:pt>
                <c:pt idx="299">
                  <c:v>71.021492050000006</c:v>
                </c:pt>
                <c:pt idx="300">
                  <c:v>68.698986590000004</c:v>
                </c:pt>
                <c:pt idx="301">
                  <c:v>68.229504570000003</c:v>
                </c:pt>
                <c:pt idx="302">
                  <c:v>69.695551660000007</c:v>
                </c:pt>
                <c:pt idx="303">
                  <c:v>70.538791180000004</c:v>
                </c:pt>
                <c:pt idx="304">
                  <c:v>69.562880010000001</c:v>
                </c:pt>
                <c:pt idx="305">
                  <c:v>71.398814250000001</c:v>
                </c:pt>
                <c:pt idx="306">
                  <c:v>70.448844870000002</c:v>
                </c:pt>
                <c:pt idx="307">
                  <c:v>68.664976060000001</c:v>
                </c:pt>
                <c:pt idx="308">
                  <c:v>70.025025569999997</c:v>
                </c:pt>
                <c:pt idx="309">
                  <c:v>71.744585369999996</c:v>
                </c:pt>
                <c:pt idx="310">
                  <c:v>70.221750450000002</c:v>
                </c:pt>
                <c:pt idx="311">
                  <c:v>68.208327370000006</c:v>
                </c:pt>
                <c:pt idx="312">
                  <c:v>69.888909549999994</c:v>
                </c:pt>
                <c:pt idx="313">
                  <c:v>68.42352391</c:v>
                </c:pt>
                <c:pt idx="314">
                  <c:v>67.860819820000003</c:v>
                </c:pt>
                <c:pt idx="315">
                  <c:v>70.156880869999995</c:v>
                </c:pt>
                <c:pt idx="316">
                  <c:v>70.68053003</c:v>
                </c:pt>
                <c:pt idx="317">
                  <c:v>70.097316410000005</c:v>
                </c:pt>
                <c:pt idx="318">
                  <c:v>70.207047439999997</c:v>
                </c:pt>
                <c:pt idx="319">
                  <c:v>69.942259120000003</c:v>
                </c:pt>
                <c:pt idx="320">
                  <c:v>68.604554519999994</c:v>
                </c:pt>
                <c:pt idx="321">
                  <c:v>70.45613032</c:v>
                </c:pt>
                <c:pt idx="322">
                  <c:v>72.017325889999995</c:v>
                </c:pt>
                <c:pt idx="323">
                  <c:v>71.278889000000007</c:v>
                </c:pt>
                <c:pt idx="324">
                  <c:v>70.207269650000001</c:v>
                </c:pt>
                <c:pt idx="325">
                  <c:v>72.080319900000006</c:v>
                </c:pt>
                <c:pt idx="326">
                  <c:v>70.909578199999999</c:v>
                </c:pt>
                <c:pt idx="327">
                  <c:v>69.662073969999994</c:v>
                </c:pt>
                <c:pt idx="328">
                  <c:v>69.888852170000007</c:v>
                </c:pt>
                <c:pt idx="329">
                  <c:v>71.50601107</c:v>
                </c:pt>
                <c:pt idx="330">
                  <c:v>72.529721739999999</c:v>
                </c:pt>
                <c:pt idx="331">
                  <c:v>70.80745709</c:v>
                </c:pt>
                <c:pt idx="332">
                  <c:v>70.03388898</c:v>
                </c:pt>
                <c:pt idx="333">
                  <c:v>68.400012790000005</c:v>
                </c:pt>
                <c:pt idx="334">
                  <c:v>68.71786487</c:v>
                </c:pt>
                <c:pt idx="335">
                  <c:v>68.870424689999993</c:v>
                </c:pt>
                <c:pt idx="336">
                  <c:v>68.700063599999993</c:v>
                </c:pt>
                <c:pt idx="337">
                  <c:v>71.240487470000005</c:v>
                </c:pt>
                <c:pt idx="338">
                  <c:v>70.341986739999996</c:v>
                </c:pt>
                <c:pt idx="339">
                  <c:v>69.301439900000005</c:v>
                </c:pt>
                <c:pt idx="340">
                  <c:v>69.844116700000001</c:v>
                </c:pt>
                <c:pt idx="341">
                  <c:v>71.413863320000004</c:v>
                </c:pt>
                <c:pt idx="342">
                  <c:v>71.376198110000004</c:v>
                </c:pt>
                <c:pt idx="343">
                  <c:v>73.160914980000001</c:v>
                </c:pt>
                <c:pt idx="344">
                  <c:v>71.409021580000001</c:v>
                </c:pt>
                <c:pt idx="345">
                  <c:v>70.155854890000001</c:v>
                </c:pt>
                <c:pt idx="346">
                  <c:v>69.946407140000005</c:v>
                </c:pt>
                <c:pt idx="347">
                  <c:v>71.356137200000006</c:v>
                </c:pt>
                <c:pt idx="348">
                  <c:v>71.336999129999995</c:v>
                </c:pt>
                <c:pt idx="349">
                  <c:v>70.279128619999994</c:v>
                </c:pt>
                <c:pt idx="350">
                  <c:v>68.81888884</c:v>
                </c:pt>
                <c:pt idx="351">
                  <c:v>69.452038169999994</c:v>
                </c:pt>
                <c:pt idx="352">
                  <c:v>71.426901079999993</c:v>
                </c:pt>
                <c:pt idx="353">
                  <c:v>70.610147400000002</c:v>
                </c:pt>
                <c:pt idx="354">
                  <c:v>70.466961740000002</c:v>
                </c:pt>
                <c:pt idx="355">
                  <c:v>70.343280609999994</c:v>
                </c:pt>
                <c:pt idx="356">
                  <c:v>70.929399500000002</c:v>
                </c:pt>
                <c:pt idx="357">
                  <c:v>69.649901779999993</c:v>
                </c:pt>
                <c:pt idx="358">
                  <c:v>71.857768250000007</c:v>
                </c:pt>
                <c:pt idx="359">
                  <c:v>69.940529310000002</c:v>
                </c:pt>
                <c:pt idx="360">
                  <c:v>69.041436020000006</c:v>
                </c:pt>
                <c:pt idx="361">
                  <c:v>70.380795359999993</c:v>
                </c:pt>
                <c:pt idx="362">
                  <c:v>70.812779579999997</c:v>
                </c:pt>
                <c:pt idx="363">
                  <c:v>71.203415300000003</c:v>
                </c:pt>
                <c:pt idx="364">
                  <c:v>69.982112970000003</c:v>
                </c:pt>
                <c:pt idx="365">
                  <c:v>69.553438209999996</c:v>
                </c:pt>
                <c:pt idx="366">
                  <c:v>69.749661020000005</c:v>
                </c:pt>
                <c:pt idx="367">
                  <c:v>71.55302476</c:v>
                </c:pt>
                <c:pt idx="368">
                  <c:v>71.697345580000004</c:v>
                </c:pt>
                <c:pt idx="369">
                  <c:v>71.349172030000005</c:v>
                </c:pt>
                <c:pt idx="370">
                  <c:v>69.642373449999994</c:v>
                </c:pt>
                <c:pt idx="371">
                  <c:v>70.349555100000003</c:v>
                </c:pt>
                <c:pt idx="372">
                  <c:v>70.542602689999995</c:v>
                </c:pt>
                <c:pt idx="373">
                  <c:v>71.609840399999996</c:v>
                </c:pt>
                <c:pt idx="374">
                  <c:v>72.817183589999999</c:v>
                </c:pt>
                <c:pt idx="375">
                  <c:v>70.900592259999996</c:v>
                </c:pt>
                <c:pt idx="376">
                  <c:v>69.288897149999997</c:v>
                </c:pt>
                <c:pt idx="377">
                  <c:v>68.439115619999995</c:v>
                </c:pt>
                <c:pt idx="378">
                  <c:v>69.133220719999997</c:v>
                </c:pt>
                <c:pt idx="379">
                  <c:v>69.566172289999997</c:v>
                </c:pt>
                <c:pt idx="380">
                  <c:v>70.359241560000001</c:v>
                </c:pt>
                <c:pt idx="381">
                  <c:v>70.201126430000002</c:v>
                </c:pt>
                <c:pt idx="382">
                  <c:v>69.651304109999998</c:v>
                </c:pt>
                <c:pt idx="383">
                  <c:v>70.795029670000005</c:v>
                </c:pt>
                <c:pt idx="384">
                  <c:v>69.643746340000007</c:v>
                </c:pt>
                <c:pt idx="385">
                  <c:v>69.98084686</c:v>
                </c:pt>
                <c:pt idx="386">
                  <c:v>69.689442479999997</c:v>
                </c:pt>
                <c:pt idx="387">
                  <c:v>70.543779939999993</c:v>
                </c:pt>
                <c:pt idx="388">
                  <c:v>71.804696759999999</c:v>
                </c:pt>
                <c:pt idx="389">
                  <c:v>70.616585819999997</c:v>
                </c:pt>
                <c:pt idx="390">
                  <c:v>70.269575369999998</c:v>
                </c:pt>
                <c:pt idx="391">
                  <c:v>70.155562340000003</c:v>
                </c:pt>
                <c:pt idx="392">
                  <c:v>69.213042389999998</c:v>
                </c:pt>
                <c:pt idx="393">
                  <c:v>69.721944239999999</c:v>
                </c:pt>
                <c:pt idx="394">
                  <c:v>70.358374330000004</c:v>
                </c:pt>
                <c:pt idx="395">
                  <c:v>70.711312149999998</c:v>
                </c:pt>
                <c:pt idx="396">
                  <c:v>70.120876089999996</c:v>
                </c:pt>
                <c:pt idx="397">
                  <c:v>69.953324309999999</c:v>
                </c:pt>
                <c:pt idx="398">
                  <c:v>68.788120809999995</c:v>
                </c:pt>
                <c:pt idx="399">
                  <c:v>68.928761120000004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E1-408B-A2BC-3FBE01345973}"/>
            </c:ext>
          </c:extLst>
        </c:ser>
        <c:ser>
          <c:idx val="1"/>
          <c:order val="1"/>
          <c:tx>
            <c:strRef>
              <c:f>'MA(1) AR(0)'!$D$1</c:f>
              <c:strCache>
                <c:ptCount val="1"/>
                <c:pt idx="0">
                  <c:v>Yt_pred = 0.99et-1 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val>
            <c:numRef>
              <c:f>'MA(1) AR(0)'!$D$2:$D$401</c:f>
              <c:numCache>
                <c:formatCode>General</c:formatCode>
                <c:ptCount val="400"/>
                <c:pt idx="1">
                  <c:v>67.663248523199996</c:v>
                </c:pt>
                <c:pt idx="2">
                  <c:v>68.952000060899991</c:v>
                </c:pt>
                <c:pt idx="3">
                  <c:v>68.647300672500009</c:v>
                </c:pt>
                <c:pt idx="4">
                  <c:v>69.248502506700007</c:v>
                </c:pt>
                <c:pt idx="5">
                  <c:v>68.073008008499997</c:v>
                </c:pt>
                <c:pt idx="6">
                  <c:v>67.995096988500009</c:v>
                </c:pt>
                <c:pt idx="7">
                  <c:v>68.775771279599994</c:v>
                </c:pt>
                <c:pt idx="8">
                  <c:v>67.732840860300001</c:v>
                </c:pt>
                <c:pt idx="9">
                  <c:v>68.630969523600001</c:v>
                </c:pt>
                <c:pt idx="10">
                  <c:v>68.993373368700006</c:v>
                </c:pt>
                <c:pt idx="11">
                  <c:v>67.591800530099988</c:v>
                </c:pt>
                <c:pt idx="12">
                  <c:v>67.07685798</c:v>
                </c:pt>
                <c:pt idx="13">
                  <c:v>69.077643515100007</c:v>
                </c:pt>
                <c:pt idx="14">
                  <c:v>70.720129141200005</c:v>
                </c:pt>
                <c:pt idx="15">
                  <c:v>70.08819487560001</c:v>
                </c:pt>
                <c:pt idx="16">
                  <c:v>69.747592374900009</c:v>
                </c:pt>
                <c:pt idx="17">
                  <c:v>69.553702092600005</c:v>
                </c:pt>
                <c:pt idx="18">
                  <c:v>69.644270292299993</c:v>
                </c:pt>
                <c:pt idx="19">
                  <c:v>70.703575717500001</c:v>
                </c:pt>
                <c:pt idx="20">
                  <c:v>68.546935927800007</c:v>
                </c:pt>
                <c:pt idx="21">
                  <c:v>69.096784967099993</c:v>
                </c:pt>
                <c:pt idx="22">
                  <c:v>69.025801333499999</c:v>
                </c:pt>
                <c:pt idx="23">
                  <c:v>68.974428966299996</c:v>
                </c:pt>
                <c:pt idx="24">
                  <c:v>68.887689749999993</c:v>
                </c:pt>
                <c:pt idx="25">
                  <c:v>68.778889512299997</c:v>
                </c:pt>
                <c:pt idx="26">
                  <c:v>67.897092552299995</c:v>
                </c:pt>
                <c:pt idx="27">
                  <c:v>68.796094484699992</c:v>
                </c:pt>
                <c:pt idx="28">
                  <c:v>71.072762527799995</c:v>
                </c:pt>
                <c:pt idx="29">
                  <c:v>70.459257478499993</c:v>
                </c:pt>
                <c:pt idx="30">
                  <c:v>69.462354535199992</c:v>
                </c:pt>
                <c:pt idx="31">
                  <c:v>68.3692094349</c:v>
                </c:pt>
                <c:pt idx="32">
                  <c:v>68.576519493899994</c:v>
                </c:pt>
                <c:pt idx="33">
                  <c:v>69.6066536286</c:v>
                </c:pt>
                <c:pt idx="34">
                  <c:v>69.334496312399992</c:v>
                </c:pt>
                <c:pt idx="35">
                  <c:v>68.779435695299995</c:v>
                </c:pt>
                <c:pt idx="36">
                  <c:v>69.376544424000002</c:v>
                </c:pt>
                <c:pt idx="37">
                  <c:v>68.5932712245</c:v>
                </c:pt>
                <c:pt idx="38">
                  <c:v>69.102971071200002</c:v>
                </c:pt>
                <c:pt idx="39">
                  <c:v>70.205919854400008</c:v>
                </c:pt>
                <c:pt idx="40">
                  <c:v>71.249009643899996</c:v>
                </c:pt>
                <c:pt idx="41">
                  <c:v>70.108151642100012</c:v>
                </c:pt>
                <c:pt idx="42">
                  <c:v>70.554109358699989</c:v>
                </c:pt>
                <c:pt idx="43">
                  <c:v>70.834085912700004</c:v>
                </c:pt>
                <c:pt idx="44">
                  <c:v>68.857968227399994</c:v>
                </c:pt>
                <c:pt idx="45">
                  <c:v>67.368796030799999</c:v>
                </c:pt>
                <c:pt idx="46">
                  <c:v>67.9719731526</c:v>
                </c:pt>
                <c:pt idx="47">
                  <c:v>70.101191219399993</c:v>
                </c:pt>
                <c:pt idx="48">
                  <c:v>70.107558651899993</c:v>
                </c:pt>
                <c:pt idx="49">
                  <c:v>68.949526842899999</c:v>
                </c:pt>
                <c:pt idx="50">
                  <c:v>70.384169255399996</c:v>
                </c:pt>
                <c:pt idx="51">
                  <c:v>70.339678942500001</c:v>
                </c:pt>
                <c:pt idx="52">
                  <c:v>67.30116825959999</c:v>
                </c:pt>
                <c:pt idx="53">
                  <c:v>68.102786287800001</c:v>
                </c:pt>
                <c:pt idx="54">
                  <c:v>69.696161508599999</c:v>
                </c:pt>
                <c:pt idx="55">
                  <c:v>70.120213584299989</c:v>
                </c:pt>
                <c:pt idx="56">
                  <c:v>70.118494677000001</c:v>
                </c:pt>
                <c:pt idx="57">
                  <c:v>69.478429878</c:v>
                </c:pt>
                <c:pt idx="58">
                  <c:v>67.856297612399999</c:v>
                </c:pt>
                <c:pt idx="59">
                  <c:v>68.013252638099999</c:v>
                </c:pt>
                <c:pt idx="60">
                  <c:v>68.024902661100001</c:v>
                </c:pt>
                <c:pt idx="61">
                  <c:v>67.997552307299998</c:v>
                </c:pt>
                <c:pt idx="62">
                  <c:v>67.650622914600007</c:v>
                </c:pt>
                <c:pt idx="63">
                  <c:v>69.149072262600001</c:v>
                </c:pt>
                <c:pt idx="64">
                  <c:v>69.801173669699992</c:v>
                </c:pt>
                <c:pt idx="65">
                  <c:v>69.2022988107</c:v>
                </c:pt>
                <c:pt idx="66">
                  <c:v>68.448182635800009</c:v>
                </c:pt>
                <c:pt idx="67">
                  <c:v>68.795031066299998</c:v>
                </c:pt>
                <c:pt idx="68">
                  <c:v>70.320966625799997</c:v>
                </c:pt>
                <c:pt idx="69">
                  <c:v>68.079897101699999</c:v>
                </c:pt>
                <c:pt idx="70">
                  <c:v>68.634756026099993</c:v>
                </c:pt>
                <c:pt idx="71">
                  <c:v>68.726629629900003</c:v>
                </c:pt>
                <c:pt idx="72">
                  <c:v>67.289810989500012</c:v>
                </c:pt>
                <c:pt idx="73">
                  <c:v>66.339651648599997</c:v>
                </c:pt>
                <c:pt idx="74">
                  <c:v>67.223192038199997</c:v>
                </c:pt>
                <c:pt idx="75">
                  <c:v>69.159334186799995</c:v>
                </c:pt>
                <c:pt idx="76">
                  <c:v>70.227775203299998</c:v>
                </c:pt>
                <c:pt idx="77">
                  <c:v>68.969273115600004</c:v>
                </c:pt>
                <c:pt idx="78">
                  <c:v>69.83008208550001</c:v>
                </c:pt>
                <c:pt idx="79">
                  <c:v>71.1260209836</c:v>
                </c:pt>
                <c:pt idx="80">
                  <c:v>70.628713679699999</c:v>
                </c:pt>
                <c:pt idx="81">
                  <c:v>68.963933273400002</c:v>
                </c:pt>
                <c:pt idx="82">
                  <c:v>69.812920851299992</c:v>
                </c:pt>
                <c:pt idx="83">
                  <c:v>70.4564142678</c:v>
                </c:pt>
                <c:pt idx="84">
                  <c:v>70.698705640200004</c:v>
                </c:pt>
                <c:pt idx="85">
                  <c:v>69.142400068499995</c:v>
                </c:pt>
                <c:pt idx="86">
                  <c:v>65.979619388100005</c:v>
                </c:pt>
                <c:pt idx="87">
                  <c:v>69.450674723099993</c:v>
                </c:pt>
                <c:pt idx="88">
                  <c:v>68.791749394500002</c:v>
                </c:pt>
                <c:pt idx="89">
                  <c:v>68.914436827499998</c:v>
                </c:pt>
                <c:pt idx="90">
                  <c:v>71.578075179600006</c:v>
                </c:pt>
                <c:pt idx="91">
                  <c:v>71.109785043000002</c:v>
                </c:pt>
                <c:pt idx="92">
                  <c:v>70.642202479199995</c:v>
                </c:pt>
                <c:pt idx="93">
                  <c:v>68.075013372300006</c:v>
                </c:pt>
                <c:pt idx="94">
                  <c:v>66.402456991199998</c:v>
                </c:pt>
                <c:pt idx="95">
                  <c:v>67.401594423900008</c:v>
                </c:pt>
                <c:pt idx="96">
                  <c:v>70.110061787700005</c:v>
                </c:pt>
                <c:pt idx="97">
                  <c:v>70.01277179489999</c:v>
                </c:pt>
                <c:pt idx="98">
                  <c:v>68.697954586799995</c:v>
                </c:pt>
                <c:pt idx="99">
                  <c:v>68.920928831699996</c:v>
                </c:pt>
                <c:pt idx="100">
                  <c:v>70.324286788799995</c:v>
                </c:pt>
                <c:pt idx="101">
                  <c:v>68.597802622799989</c:v>
                </c:pt>
                <c:pt idx="102">
                  <c:v>67.372957970999991</c:v>
                </c:pt>
                <c:pt idx="103">
                  <c:v>67.573651434300004</c:v>
                </c:pt>
                <c:pt idx="104">
                  <c:v>69.925995463500001</c:v>
                </c:pt>
                <c:pt idx="105">
                  <c:v>70.425975153599992</c:v>
                </c:pt>
                <c:pt idx="106">
                  <c:v>71.898618329999991</c:v>
                </c:pt>
                <c:pt idx="107">
                  <c:v>71.4484597167</c:v>
                </c:pt>
                <c:pt idx="108">
                  <c:v>69.774746104800002</c:v>
                </c:pt>
                <c:pt idx="109">
                  <c:v>70.192736806500008</c:v>
                </c:pt>
                <c:pt idx="110">
                  <c:v>69.902600298300001</c:v>
                </c:pt>
                <c:pt idx="111">
                  <c:v>68.695866993599992</c:v>
                </c:pt>
                <c:pt idx="112">
                  <c:v>69.429915205200004</c:v>
                </c:pt>
                <c:pt idx="113">
                  <c:v>68.869825635599994</c:v>
                </c:pt>
                <c:pt idx="114">
                  <c:v>68.715427690799999</c:v>
                </c:pt>
                <c:pt idx="115">
                  <c:v>70.392813796799999</c:v>
                </c:pt>
                <c:pt idx="116">
                  <c:v>70.030791299699999</c:v>
                </c:pt>
                <c:pt idx="117">
                  <c:v>68.615520662699993</c:v>
                </c:pt>
                <c:pt idx="118">
                  <c:v>68.210380695600008</c:v>
                </c:pt>
                <c:pt idx="119">
                  <c:v>69.863144897699996</c:v>
                </c:pt>
                <c:pt idx="120">
                  <c:v>69.417757460700003</c:v>
                </c:pt>
                <c:pt idx="121">
                  <c:v>68.818708866599991</c:v>
                </c:pt>
                <c:pt idx="122">
                  <c:v>68.470708274099991</c:v>
                </c:pt>
                <c:pt idx="123">
                  <c:v>69.128898537599994</c:v>
                </c:pt>
                <c:pt idx="124">
                  <c:v>69.064491780899999</c:v>
                </c:pt>
                <c:pt idx="125">
                  <c:v>67.624207813799998</c:v>
                </c:pt>
                <c:pt idx="126">
                  <c:v>67.48686802440001</c:v>
                </c:pt>
                <c:pt idx="127">
                  <c:v>67.791397320899989</c:v>
                </c:pt>
                <c:pt idx="128">
                  <c:v>70.169664173400008</c:v>
                </c:pt>
                <c:pt idx="129">
                  <c:v>71.078926614300002</c:v>
                </c:pt>
                <c:pt idx="130">
                  <c:v>70.687843498800007</c:v>
                </c:pt>
                <c:pt idx="131">
                  <c:v>69.098723387099994</c:v>
                </c:pt>
                <c:pt idx="132">
                  <c:v>67.955247350099995</c:v>
                </c:pt>
                <c:pt idx="133">
                  <c:v>68.05108897289999</c:v>
                </c:pt>
                <c:pt idx="134">
                  <c:v>67.912717870800009</c:v>
                </c:pt>
                <c:pt idx="135">
                  <c:v>71.314532417699994</c:v>
                </c:pt>
                <c:pt idx="136">
                  <c:v>68.702035653899998</c:v>
                </c:pt>
                <c:pt idx="137">
                  <c:v>68.895230114699999</c:v>
                </c:pt>
                <c:pt idx="138">
                  <c:v>67.964820600600007</c:v>
                </c:pt>
                <c:pt idx="139">
                  <c:v>68.517023265899994</c:v>
                </c:pt>
                <c:pt idx="140">
                  <c:v>68.252645854799994</c:v>
                </c:pt>
                <c:pt idx="141">
                  <c:v>67.740627863699999</c:v>
                </c:pt>
                <c:pt idx="142">
                  <c:v>67.549788622799994</c:v>
                </c:pt>
                <c:pt idx="143">
                  <c:v>70.455121109999993</c:v>
                </c:pt>
                <c:pt idx="144">
                  <c:v>70.386477539399991</c:v>
                </c:pt>
                <c:pt idx="145">
                  <c:v>68.847305016600004</c:v>
                </c:pt>
                <c:pt idx="146">
                  <c:v>69.2526688425</c:v>
                </c:pt>
                <c:pt idx="147">
                  <c:v>69.417655619399994</c:v>
                </c:pt>
                <c:pt idx="148">
                  <c:v>70.097626140300008</c:v>
                </c:pt>
                <c:pt idx="149">
                  <c:v>67.937264910900012</c:v>
                </c:pt>
                <c:pt idx="150">
                  <c:v>68.543638970399996</c:v>
                </c:pt>
                <c:pt idx="151">
                  <c:v>70.019971797600007</c:v>
                </c:pt>
                <c:pt idx="152">
                  <c:v>68.313909084300008</c:v>
                </c:pt>
                <c:pt idx="153">
                  <c:v>68.936067238500002</c:v>
                </c:pt>
                <c:pt idx="154">
                  <c:v>71.056687373100004</c:v>
                </c:pt>
                <c:pt idx="155">
                  <c:v>70.448483130300005</c:v>
                </c:pt>
                <c:pt idx="156">
                  <c:v>70.275275541900001</c:v>
                </c:pt>
                <c:pt idx="157">
                  <c:v>70.204485136499997</c:v>
                </c:pt>
                <c:pt idx="158">
                  <c:v>68.849677779299995</c:v>
                </c:pt>
                <c:pt idx="159">
                  <c:v>68.797830192299998</c:v>
                </c:pt>
                <c:pt idx="160">
                  <c:v>67.582470017700004</c:v>
                </c:pt>
                <c:pt idx="161">
                  <c:v>67.973342946299994</c:v>
                </c:pt>
                <c:pt idx="162">
                  <c:v>69.2822958597</c:v>
                </c:pt>
                <c:pt idx="163">
                  <c:v>70.403244120000011</c:v>
                </c:pt>
                <c:pt idx="164">
                  <c:v>69.991623721799996</c:v>
                </c:pt>
                <c:pt idx="165">
                  <c:v>70.096784887799998</c:v>
                </c:pt>
                <c:pt idx="166">
                  <c:v>68.478706662299999</c:v>
                </c:pt>
                <c:pt idx="167">
                  <c:v>68.467508227799996</c:v>
                </c:pt>
                <c:pt idx="168">
                  <c:v>69.065979533099991</c:v>
                </c:pt>
                <c:pt idx="169">
                  <c:v>71.2404305811</c:v>
                </c:pt>
                <c:pt idx="170">
                  <c:v>70.3224394983</c:v>
                </c:pt>
                <c:pt idx="171">
                  <c:v>68.837308056000012</c:v>
                </c:pt>
                <c:pt idx="172">
                  <c:v>68.736790692899987</c:v>
                </c:pt>
                <c:pt idx="173">
                  <c:v>68.19095968740001</c:v>
                </c:pt>
                <c:pt idx="174">
                  <c:v>68.9943649131</c:v>
                </c:pt>
                <c:pt idx="175">
                  <c:v>69.087926377800002</c:v>
                </c:pt>
                <c:pt idx="176">
                  <c:v>67.491032083199997</c:v>
                </c:pt>
                <c:pt idx="177">
                  <c:v>68.220240650099996</c:v>
                </c:pt>
                <c:pt idx="178">
                  <c:v>68.880467105999998</c:v>
                </c:pt>
                <c:pt idx="179">
                  <c:v>67.756108998599998</c:v>
                </c:pt>
                <c:pt idx="180">
                  <c:v>68.433062454899996</c:v>
                </c:pt>
                <c:pt idx="181">
                  <c:v>70.717467179699995</c:v>
                </c:pt>
                <c:pt idx="182">
                  <c:v>70.926652278900008</c:v>
                </c:pt>
                <c:pt idx="183">
                  <c:v>70.456559134499997</c:v>
                </c:pt>
                <c:pt idx="184">
                  <c:v>68.177858037299998</c:v>
                </c:pt>
                <c:pt idx="185">
                  <c:v>68.751876471300008</c:v>
                </c:pt>
                <c:pt idx="186">
                  <c:v>69.454733554800001</c:v>
                </c:pt>
                <c:pt idx="187">
                  <c:v>70.0810319781</c:v>
                </c:pt>
                <c:pt idx="188">
                  <c:v>70.140601456200002</c:v>
                </c:pt>
                <c:pt idx="189">
                  <c:v>68.2238683665</c:v>
                </c:pt>
                <c:pt idx="190">
                  <c:v>68.361153775199995</c:v>
                </c:pt>
                <c:pt idx="191">
                  <c:v>68.309239600799998</c:v>
                </c:pt>
                <c:pt idx="192">
                  <c:v>68.937614380799999</c:v>
                </c:pt>
                <c:pt idx="193">
                  <c:v>68.491369831500009</c:v>
                </c:pt>
                <c:pt idx="194">
                  <c:v>70.222883247000013</c:v>
                </c:pt>
                <c:pt idx="195">
                  <c:v>69.2459363376</c:v>
                </c:pt>
                <c:pt idx="196">
                  <c:v>68.100744096</c:v>
                </c:pt>
                <c:pt idx="197">
                  <c:v>68.670506094299995</c:v>
                </c:pt>
                <c:pt idx="198">
                  <c:v>68.215752356399989</c:v>
                </c:pt>
                <c:pt idx="199">
                  <c:v>68.41788291360001</c:v>
                </c:pt>
                <c:pt idx="200">
                  <c:v>68.274339091200005</c:v>
                </c:pt>
                <c:pt idx="201">
                  <c:v>70.34629892400001</c:v>
                </c:pt>
                <c:pt idx="202">
                  <c:v>71.013423412799995</c:v>
                </c:pt>
                <c:pt idx="203">
                  <c:v>69.9572695536</c:v>
                </c:pt>
                <c:pt idx="204">
                  <c:v>68.793029820900003</c:v>
                </c:pt>
                <c:pt idx="205">
                  <c:v>69.730145466300002</c:v>
                </c:pt>
                <c:pt idx="206">
                  <c:v>70.1113303737</c:v>
                </c:pt>
                <c:pt idx="207">
                  <c:v>70.150826463300007</c:v>
                </c:pt>
                <c:pt idx="208">
                  <c:v>69.541166455200013</c:v>
                </c:pt>
                <c:pt idx="209">
                  <c:v>67.5181042074</c:v>
                </c:pt>
                <c:pt idx="210">
                  <c:v>68.047171265700001</c:v>
                </c:pt>
                <c:pt idx="211">
                  <c:v>68.555706476400005</c:v>
                </c:pt>
                <c:pt idx="212">
                  <c:v>69.867877226399997</c:v>
                </c:pt>
                <c:pt idx="213">
                  <c:v>70.865738400600009</c:v>
                </c:pt>
                <c:pt idx="214">
                  <c:v>69.417708336899992</c:v>
                </c:pt>
                <c:pt idx="215">
                  <c:v>69.3646048656</c:v>
                </c:pt>
                <c:pt idx="216">
                  <c:v>71.021970627299993</c:v>
                </c:pt>
                <c:pt idx="217">
                  <c:v>69.652765323899999</c:v>
                </c:pt>
                <c:pt idx="218">
                  <c:v>70.660170523800005</c:v>
                </c:pt>
                <c:pt idx="219">
                  <c:v>69.1662127365</c:v>
                </c:pt>
                <c:pt idx="220">
                  <c:v>68.834406643199998</c:v>
                </c:pt>
                <c:pt idx="221">
                  <c:v>69.049746008100001</c:v>
                </c:pt>
                <c:pt idx="222">
                  <c:v>69.3009095229</c:v>
                </c:pt>
                <c:pt idx="223">
                  <c:v>68.546320652700004</c:v>
                </c:pt>
                <c:pt idx="224">
                  <c:v>68.262248260799993</c:v>
                </c:pt>
                <c:pt idx="225">
                  <c:v>68.242409680500003</c:v>
                </c:pt>
                <c:pt idx="226">
                  <c:v>69.300464300100003</c:v>
                </c:pt>
                <c:pt idx="227">
                  <c:v>69.944290435799999</c:v>
                </c:pt>
                <c:pt idx="228">
                  <c:v>71.890119863100011</c:v>
                </c:pt>
                <c:pt idx="229">
                  <c:v>72.0180638991</c:v>
                </c:pt>
                <c:pt idx="230">
                  <c:v>69.649057575899988</c:v>
                </c:pt>
                <c:pt idx="231">
                  <c:v>69.015636290699987</c:v>
                </c:pt>
                <c:pt idx="232">
                  <c:v>70.011811306799999</c:v>
                </c:pt>
                <c:pt idx="233">
                  <c:v>69.842691705600004</c:v>
                </c:pt>
                <c:pt idx="234">
                  <c:v>69.3431264691</c:v>
                </c:pt>
                <c:pt idx="235">
                  <c:v>69.214127558399994</c:v>
                </c:pt>
                <c:pt idx="236">
                  <c:v>70.094142458999997</c:v>
                </c:pt>
                <c:pt idx="237">
                  <c:v>68.962409891100009</c:v>
                </c:pt>
                <c:pt idx="238">
                  <c:v>68.536790417700004</c:v>
                </c:pt>
                <c:pt idx="239">
                  <c:v>69.409080100799997</c:v>
                </c:pt>
                <c:pt idx="240">
                  <c:v>69.902743531500008</c:v>
                </c:pt>
                <c:pt idx="241">
                  <c:v>69.866109026999993</c:v>
                </c:pt>
                <c:pt idx="242">
                  <c:v>69.092739203400001</c:v>
                </c:pt>
                <c:pt idx="243">
                  <c:v>69.968621240099992</c:v>
                </c:pt>
                <c:pt idx="244">
                  <c:v>71.8758805545</c:v>
                </c:pt>
                <c:pt idx="245">
                  <c:v>71.047293292799992</c:v>
                </c:pt>
                <c:pt idx="246">
                  <c:v>69.384366879299989</c:v>
                </c:pt>
                <c:pt idx="247">
                  <c:v>69.574615020899998</c:v>
                </c:pt>
                <c:pt idx="248">
                  <c:v>68.905717640099994</c:v>
                </c:pt>
                <c:pt idx="249">
                  <c:v>68.238852640199994</c:v>
                </c:pt>
                <c:pt idx="250">
                  <c:v>68.814076953599994</c:v>
                </c:pt>
                <c:pt idx="251">
                  <c:v>66.769821716400003</c:v>
                </c:pt>
                <c:pt idx="252">
                  <c:v>66.785259083399993</c:v>
                </c:pt>
                <c:pt idx="253">
                  <c:v>68.205726695699994</c:v>
                </c:pt>
                <c:pt idx="254">
                  <c:v>68.058003321000001</c:v>
                </c:pt>
                <c:pt idx="255">
                  <c:v>67.860767313899998</c:v>
                </c:pt>
                <c:pt idx="256">
                  <c:v>68.376678539400004</c:v>
                </c:pt>
                <c:pt idx="257">
                  <c:v>67.551241289399997</c:v>
                </c:pt>
                <c:pt idx="258">
                  <c:v>68.125730131799997</c:v>
                </c:pt>
                <c:pt idx="259">
                  <c:v>68.590148229899995</c:v>
                </c:pt>
                <c:pt idx="260">
                  <c:v>69.251521056299993</c:v>
                </c:pt>
                <c:pt idx="261">
                  <c:v>70.626510355499988</c:v>
                </c:pt>
                <c:pt idx="262">
                  <c:v>70.281229263299991</c:v>
                </c:pt>
                <c:pt idx="263">
                  <c:v>69.511635854100007</c:v>
                </c:pt>
                <c:pt idx="264">
                  <c:v>69.231072645899999</c:v>
                </c:pt>
                <c:pt idx="265">
                  <c:v>69.420271674600002</c:v>
                </c:pt>
                <c:pt idx="266">
                  <c:v>68.386269946500008</c:v>
                </c:pt>
                <c:pt idx="267">
                  <c:v>68.602052890799996</c:v>
                </c:pt>
                <c:pt idx="268">
                  <c:v>69.461014481100008</c:v>
                </c:pt>
                <c:pt idx="269">
                  <c:v>68.248940433300007</c:v>
                </c:pt>
                <c:pt idx="270">
                  <c:v>69.47805631140001</c:v>
                </c:pt>
                <c:pt idx="271">
                  <c:v>70.792713931500003</c:v>
                </c:pt>
                <c:pt idx="272">
                  <c:v>69.517149233399991</c:v>
                </c:pt>
                <c:pt idx="273">
                  <c:v>68.743550947499998</c:v>
                </c:pt>
                <c:pt idx="274">
                  <c:v>68.031577359899998</c:v>
                </c:pt>
                <c:pt idx="275">
                  <c:v>69.398267805900005</c:v>
                </c:pt>
                <c:pt idx="276">
                  <c:v>68.6888774154</c:v>
                </c:pt>
                <c:pt idx="277">
                  <c:v>68.683593864599999</c:v>
                </c:pt>
                <c:pt idx="278">
                  <c:v>68.263162387199998</c:v>
                </c:pt>
                <c:pt idx="279">
                  <c:v>68.913264004199988</c:v>
                </c:pt>
                <c:pt idx="280">
                  <c:v>67.602722705100007</c:v>
                </c:pt>
                <c:pt idx="281">
                  <c:v>69.710851445399996</c:v>
                </c:pt>
                <c:pt idx="282">
                  <c:v>69.100733700899994</c:v>
                </c:pt>
                <c:pt idx="283">
                  <c:v>69.116480522100005</c:v>
                </c:pt>
                <c:pt idx="284">
                  <c:v>69.039270392399999</c:v>
                </c:pt>
                <c:pt idx="285">
                  <c:v>68.444124714899999</c:v>
                </c:pt>
                <c:pt idx="286">
                  <c:v>67.985791374599998</c:v>
                </c:pt>
                <c:pt idx="287">
                  <c:v>69.69527197379999</c:v>
                </c:pt>
                <c:pt idx="288">
                  <c:v>69.411041577900008</c:v>
                </c:pt>
                <c:pt idx="289">
                  <c:v>69.516501842699995</c:v>
                </c:pt>
                <c:pt idx="290">
                  <c:v>68.603106716100001</c:v>
                </c:pt>
                <c:pt idx="291">
                  <c:v>68.176203856200004</c:v>
                </c:pt>
                <c:pt idx="292">
                  <c:v>69.302314976399998</c:v>
                </c:pt>
                <c:pt idx="293">
                  <c:v>70.559632241999992</c:v>
                </c:pt>
                <c:pt idx="294">
                  <c:v>69.881521614299999</c:v>
                </c:pt>
                <c:pt idx="295">
                  <c:v>67.863322622699997</c:v>
                </c:pt>
                <c:pt idx="296">
                  <c:v>70.241513611499997</c:v>
                </c:pt>
                <c:pt idx="297">
                  <c:v>69.447927562199993</c:v>
                </c:pt>
                <c:pt idx="298">
                  <c:v>67.58013092489999</c:v>
                </c:pt>
                <c:pt idx="299">
                  <c:v>70.792180628400004</c:v>
                </c:pt>
                <c:pt idx="300">
                  <c:v>70.311277129499999</c:v>
                </c:pt>
                <c:pt idx="301">
                  <c:v>68.011996724100001</c:v>
                </c:pt>
                <c:pt idx="302">
                  <c:v>67.547209524300001</c:v>
                </c:pt>
                <c:pt idx="303">
                  <c:v>68.998596143400007</c:v>
                </c:pt>
                <c:pt idx="304">
                  <c:v>69.833403268200001</c:v>
                </c:pt>
                <c:pt idx="305">
                  <c:v>68.867251209900004</c:v>
                </c:pt>
                <c:pt idx="306">
                  <c:v>70.684826107500001</c:v>
                </c:pt>
                <c:pt idx="307">
                  <c:v>69.744356421299997</c:v>
                </c:pt>
                <c:pt idx="308">
                  <c:v>67.978326299399995</c:v>
                </c:pt>
                <c:pt idx="309">
                  <c:v>69.324775314299998</c:v>
                </c:pt>
                <c:pt idx="310">
                  <c:v>71.027139516299997</c:v>
                </c:pt>
                <c:pt idx="311">
                  <c:v>69.519532945500004</c:v>
                </c:pt>
                <c:pt idx="312">
                  <c:v>67.526244096300005</c:v>
                </c:pt>
                <c:pt idx="313">
                  <c:v>69.190020454499987</c:v>
                </c:pt>
                <c:pt idx="314">
                  <c:v>67.739288670899995</c:v>
                </c:pt>
                <c:pt idx="315">
                  <c:v>67.182211621800008</c:v>
                </c:pt>
                <c:pt idx="316">
                  <c:v>69.455312061299992</c:v>
                </c:pt>
                <c:pt idx="317">
                  <c:v>69.973724729699995</c:v>
                </c:pt>
                <c:pt idx="318">
                  <c:v>69.396343245899999</c:v>
                </c:pt>
                <c:pt idx="319">
                  <c:v>69.504976965599994</c:v>
                </c:pt>
                <c:pt idx="320">
                  <c:v>69.242836528799998</c:v>
                </c:pt>
                <c:pt idx="321">
                  <c:v>67.918508974799991</c:v>
                </c:pt>
                <c:pt idx="322">
                  <c:v>69.751569016800005</c:v>
                </c:pt>
                <c:pt idx="323">
                  <c:v>71.297152631099991</c:v>
                </c:pt>
                <c:pt idx="324">
                  <c:v>70.566100110000008</c:v>
                </c:pt>
                <c:pt idx="325">
                  <c:v>69.505196953500004</c:v>
                </c:pt>
                <c:pt idx="326">
                  <c:v>71.359516701000004</c:v>
                </c:pt>
                <c:pt idx="327">
                  <c:v>70.200482417999993</c:v>
                </c:pt>
                <c:pt idx="328">
                  <c:v>68.9654532303</c:v>
                </c:pt>
                <c:pt idx="329">
                  <c:v>69.189963648300008</c:v>
                </c:pt>
                <c:pt idx="330">
                  <c:v>70.790950959300005</c:v>
                </c:pt>
                <c:pt idx="331">
                  <c:v>71.804424522600002</c:v>
                </c:pt>
                <c:pt idx="332">
                  <c:v>70.099382519100004</c:v>
                </c:pt>
                <c:pt idx="333">
                  <c:v>69.333550090200006</c:v>
                </c:pt>
                <c:pt idx="334">
                  <c:v>67.716012662099999</c:v>
                </c:pt>
                <c:pt idx="335">
                  <c:v>68.030686221300002</c:v>
                </c:pt>
                <c:pt idx="336">
                  <c:v>68.181720443099991</c:v>
                </c:pt>
                <c:pt idx="337">
                  <c:v>68.013062963999985</c:v>
                </c:pt>
                <c:pt idx="338">
                  <c:v>70.528082595300006</c:v>
                </c:pt>
                <c:pt idx="339">
                  <c:v>69.638566872599995</c:v>
                </c:pt>
                <c:pt idx="340">
                  <c:v>68.608425500999999</c:v>
                </c:pt>
                <c:pt idx="341">
                  <c:v>69.145675533000002</c:v>
                </c:pt>
                <c:pt idx="342">
                  <c:v>70.69972468680001</c:v>
                </c:pt>
                <c:pt idx="343">
                  <c:v>70.662436128899998</c:v>
                </c:pt>
                <c:pt idx="344">
                  <c:v>72.429305830199993</c:v>
                </c:pt>
                <c:pt idx="345">
                  <c:v>70.694931364200002</c:v>
                </c:pt>
                <c:pt idx="346">
                  <c:v>69.454296341100004</c:v>
                </c:pt>
                <c:pt idx="347">
                  <c:v>69.246943068600004</c:v>
                </c:pt>
                <c:pt idx="348">
                  <c:v>70.642575828000005</c:v>
                </c:pt>
                <c:pt idx="349">
                  <c:v>70.623629138699997</c:v>
                </c:pt>
                <c:pt idx="350">
                  <c:v>69.576337333799998</c:v>
                </c:pt>
                <c:pt idx="351">
                  <c:v>68.130699951599993</c:v>
                </c:pt>
                <c:pt idx="352">
                  <c:v>68.757517788299992</c:v>
                </c:pt>
                <c:pt idx="353">
                  <c:v>70.712632069199998</c:v>
                </c:pt>
                <c:pt idx="354">
                  <c:v>69.904045925999995</c:v>
                </c:pt>
                <c:pt idx="355">
                  <c:v>69.762292122600002</c:v>
                </c:pt>
                <c:pt idx="356">
                  <c:v>69.639847803899997</c:v>
                </c:pt>
                <c:pt idx="357">
                  <c:v>70.220105505000006</c:v>
                </c:pt>
                <c:pt idx="358">
                  <c:v>68.9534027622</c:v>
                </c:pt>
                <c:pt idx="359">
                  <c:v>71.139190567500009</c:v>
                </c:pt>
                <c:pt idx="360">
                  <c:v>69.241124016900002</c:v>
                </c:pt>
                <c:pt idx="361">
                  <c:v>68.351021659800011</c:v>
                </c:pt>
                <c:pt idx="362">
                  <c:v>69.676987406399988</c:v>
                </c:pt>
                <c:pt idx="363">
                  <c:v>70.104651784200001</c:v>
                </c:pt>
                <c:pt idx="364">
                  <c:v>70.491381146999998</c:v>
                </c:pt>
                <c:pt idx="365">
                  <c:v>69.282291840300005</c:v>
                </c:pt>
                <c:pt idx="366">
                  <c:v>68.857903827899989</c:v>
                </c:pt>
                <c:pt idx="367">
                  <c:v>69.0521644098</c:v>
                </c:pt>
                <c:pt idx="368">
                  <c:v>70.837494512399999</c:v>
                </c:pt>
                <c:pt idx="369">
                  <c:v>70.980372124200002</c:v>
                </c:pt>
                <c:pt idx="370">
                  <c:v>70.635680309700007</c:v>
                </c:pt>
                <c:pt idx="371">
                  <c:v>68.945949715499992</c:v>
                </c:pt>
                <c:pt idx="372">
                  <c:v>69.646059549</c:v>
                </c:pt>
                <c:pt idx="373">
                  <c:v>69.837176663099996</c:v>
                </c:pt>
                <c:pt idx="374">
                  <c:v>70.893741995999989</c:v>
                </c:pt>
                <c:pt idx="375">
                  <c:v>72.0890117541</c:v>
                </c:pt>
                <c:pt idx="376">
                  <c:v>70.191586337399997</c:v>
                </c:pt>
                <c:pt idx="377">
                  <c:v>68.5960081785</c:v>
                </c:pt>
                <c:pt idx="378">
                  <c:v>67.754724463799988</c:v>
                </c:pt>
                <c:pt idx="379">
                  <c:v>68.441888512799991</c:v>
                </c:pt>
                <c:pt idx="380">
                  <c:v>68.870510567099998</c:v>
                </c:pt>
                <c:pt idx="381">
                  <c:v>69.655649144400002</c:v>
                </c:pt>
                <c:pt idx="382">
                  <c:v>69.499115165700005</c:v>
                </c:pt>
                <c:pt idx="383">
                  <c:v>68.954791068899993</c:v>
                </c:pt>
                <c:pt idx="384">
                  <c:v>70.0870793733</c:v>
                </c:pt>
                <c:pt idx="385">
                  <c:v>68.947308876600005</c:v>
                </c:pt>
                <c:pt idx="386">
                  <c:v>69.281038391400003</c:v>
                </c:pt>
                <c:pt idx="387">
                  <c:v>68.99254805519999</c:v>
                </c:pt>
                <c:pt idx="388">
                  <c:v>69.838342140599991</c:v>
                </c:pt>
                <c:pt idx="389">
                  <c:v>71.086649792399996</c:v>
                </c:pt>
                <c:pt idx="390">
                  <c:v>69.910419961800002</c:v>
                </c:pt>
                <c:pt idx="391">
                  <c:v>69.5668796163</c:v>
                </c:pt>
                <c:pt idx="392">
                  <c:v>69.454006716600006</c:v>
                </c:pt>
                <c:pt idx="393">
                  <c:v>68.520911966100002</c:v>
                </c:pt>
                <c:pt idx="394">
                  <c:v>69.024724797600001</c:v>
                </c:pt>
                <c:pt idx="395">
                  <c:v>69.654790586700003</c:v>
                </c:pt>
                <c:pt idx="396">
                  <c:v>70.004199028499997</c:v>
                </c:pt>
                <c:pt idx="397">
                  <c:v>69.419667329099994</c:v>
                </c:pt>
                <c:pt idx="398">
                  <c:v>69.253791066899993</c:v>
                </c:pt>
                <c:pt idx="399">
                  <c:v>68.1002396019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E1-408B-A2BC-3FBE01345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5573768"/>
        <c:axId val="656332295"/>
      </c:lineChart>
      <c:catAx>
        <c:axId val="1755573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32295"/>
        <c:crosses val="autoZero"/>
        <c:auto val="1"/>
        <c:lblAlgn val="ctr"/>
        <c:lblOffset val="100"/>
        <c:noMultiLvlLbl val="0"/>
      </c:catAx>
      <c:valAx>
        <c:axId val="65633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57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'versi 3'!$D$1</c:f>
              <c:strCache>
                <c:ptCount val="1"/>
                <c:pt idx="0">
                  <c:v>yt_demean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val>
            <c:numRef>
              <c:f>'versi 3'!$D$2:$D$401</c:f>
              <c:numCache>
                <c:formatCode>General</c:formatCode>
                <c:ptCount val="400"/>
                <c:pt idx="0">
                  <c:v>-1.609683247700076</c:v>
                </c:pt>
                <c:pt idx="1">
                  <c:v>-0.3079140177000852</c:v>
                </c:pt>
                <c:pt idx="2">
                  <c:v>-0.61569117770007153</c:v>
                </c:pt>
                <c:pt idx="3">
                  <c:v>-8.4165977000765224E-3</c:v>
                </c:pt>
                <c:pt idx="4">
                  <c:v>-1.1957847777000836</c:v>
                </c:pt>
                <c:pt idx="5">
                  <c:v>-1.2744827777000722</c:v>
                </c:pt>
                <c:pt idx="6">
                  <c:v>-0.48592288770008452</c:v>
                </c:pt>
                <c:pt idx="7">
                  <c:v>-1.5393879577000718</c:v>
                </c:pt>
                <c:pt idx="8">
                  <c:v>-0.63218728770007715</c:v>
                </c:pt>
                <c:pt idx="9">
                  <c:v>-0.26612279770007774</c:v>
                </c:pt>
                <c:pt idx="10">
                  <c:v>-1.6818529377000857</c:v>
                </c:pt>
                <c:pt idx="11">
                  <c:v>-2.2019969277000797</c:v>
                </c:pt>
                <c:pt idx="12">
                  <c:v>-0.18100143770007548</c:v>
                </c:pt>
                <c:pt idx="13">
                  <c:v>1.4780749522999201</c:v>
                </c:pt>
                <c:pt idx="14">
                  <c:v>0.83975751229992568</c:v>
                </c:pt>
                <c:pt idx="15">
                  <c:v>0.49571458229992515</c:v>
                </c:pt>
                <c:pt idx="16">
                  <c:v>0.29986581229992737</c:v>
                </c:pt>
                <c:pt idx="17">
                  <c:v>0.3913488422999194</c:v>
                </c:pt>
                <c:pt idx="18">
                  <c:v>1.4613543222999255</c:v>
                </c:pt>
                <c:pt idx="19">
                  <c:v>-0.71706970770007672</c:v>
                </c:pt>
                <c:pt idx="20">
                  <c:v>-0.16166663770007972</c:v>
                </c:pt>
                <c:pt idx="21">
                  <c:v>-0.23336727770008281</c:v>
                </c:pt>
                <c:pt idx="22">
                  <c:v>-0.28525855770007524</c:v>
                </c:pt>
                <c:pt idx="23">
                  <c:v>-0.3728739277000841</c:v>
                </c:pt>
                <c:pt idx="24">
                  <c:v>-0.48277315770008045</c:v>
                </c:pt>
                <c:pt idx="25">
                  <c:v>-1.3734771577000799</c:v>
                </c:pt>
                <c:pt idx="26">
                  <c:v>-0.46539439770008073</c:v>
                </c:pt>
                <c:pt idx="27">
                  <c:v>1.8342702922999194</c:v>
                </c:pt>
                <c:pt idx="28">
                  <c:v>1.214568222299917</c:v>
                </c:pt>
                <c:pt idx="29">
                  <c:v>0.20759555229992088</c:v>
                </c:pt>
                <c:pt idx="30">
                  <c:v>-0.89659141770007977</c:v>
                </c:pt>
                <c:pt idx="31">
                  <c:v>-0.68718731770007935</c:v>
                </c:pt>
                <c:pt idx="32">
                  <c:v>0.35335221229992442</c:v>
                </c:pt>
                <c:pt idx="33">
                  <c:v>7.8445832299919971E-2</c:v>
                </c:pt>
                <c:pt idx="34">
                  <c:v>-0.48222145770007785</c:v>
                </c:pt>
                <c:pt idx="35">
                  <c:v>0.12091867229992204</c:v>
                </c:pt>
                <c:pt idx="36">
                  <c:v>-0.67026637770007369</c:v>
                </c:pt>
                <c:pt idx="37">
                  <c:v>-0.15541804770008127</c:v>
                </c:pt>
                <c:pt idx="38">
                  <c:v>0.95867163229992514</c:v>
                </c:pt>
                <c:pt idx="39">
                  <c:v>2.0122976822999163</c:v>
                </c:pt>
                <c:pt idx="40">
                  <c:v>0.85991586229992834</c:v>
                </c:pt>
                <c:pt idx="41">
                  <c:v>1.3103782022999155</c:v>
                </c:pt>
                <c:pt idx="42">
                  <c:v>1.5931828022999213</c:v>
                </c:pt>
                <c:pt idx="43">
                  <c:v>-0.40289566770007923</c:v>
                </c:pt>
                <c:pt idx="44">
                  <c:v>-1.9071100077000835</c:v>
                </c:pt>
                <c:pt idx="45">
                  <c:v>-1.2978401877000749</c:v>
                </c:pt>
                <c:pt idx="46">
                  <c:v>0.85288513229991736</c:v>
                </c:pt>
                <c:pt idx="47">
                  <c:v>0.85931688229992176</c:v>
                </c:pt>
                <c:pt idx="48">
                  <c:v>-0.3104122177000761</c:v>
                </c:pt>
                <c:pt idx="49">
                  <c:v>1.1387215322999253</c:v>
                </c:pt>
                <c:pt idx="50">
                  <c:v>1.0937818222999169</c:v>
                </c:pt>
                <c:pt idx="51">
                  <c:v>-1.9754208877000821</c:v>
                </c:pt>
                <c:pt idx="52">
                  <c:v>-1.1657057077000843</c:v>
                </c:pt>
                <c:pt idx="53">
                  <c:v>0.44376421229992502</c:v>
                </c:pt>
                <c:pt idx="54">
                  <c:v>0.87209964229991499</c:v>
                </c:pt>
                <c:pt idx="55">
                  <c:v>0.87036337229992</c:v>
                </c:pt>
                <c:pt idx="56">
                  <c:v>0.22383327229992744</c:v>
                </c:pt>
                <c:pt idx="57">
                  <c:v>-1.4146841677000737</c:v>
                </c:pt>
                <c:pt idx="58">
                  <c:v>-1.2561437377000857</c:v>
                </c:pt>
                <c:pt idx="59">
                  <c:v>-1.2443760377000785</c:v>
                </c:pt>
                <c:pt idx="60">
                  <c:v>-1.2720026577000851</c:v>
                </c:pt>
                <c:pt idx="61">
                  <c:v>-1.6224363877000769</c:v>
                </c:pt>
                <c:pt idx="62">
                  <c:v>-0.10885118770008262</c:v>
                </c:pt>
                <c:pt idx="63">
                  <c:v>0.549837102299918</c:v>
                </c:pt>
                <c:pt idx="64">
                  <c:v>-5.508699770007297E-2</c:v>
                </c:pt>
                <c:pt idx="65">
                  <c:v>-0.81682050770007208</c:v>
                </c:pt>
                <c:pt idx="66">
                  <c:v>-0.46646855770008244</c:v>
                </c:pt>
                <c:pt idx="67">
                  <c:v>1.0748804922999255</c:v>
                </c:pt>
                <c:pt idx="68">
                  <c:v>-1.1888260977000726</c:v>
                </c:pt>
                <c:pt idx="69">
                  <c:v>-0.62836253770008454</c:v>
                </c:pt>
                <c:pt idx="70">
                  <c:v>-0.53556091770008152</c:v>
                </c:pt>
                <c:pt idx="71">
                  <c:v>-1.9868928777000718</c:v>
                </c:pt>
                <c:pt idx="72">
                  <c:v>-2.9466497877000819</c:v>
                </c:pt>
                <c:pt idx="73">
                  <c:v>-2.0541847477000772</c:v>
                </c:pt>
                <c:pt idx="74">
                  <c:v>-9.8485607700084188E-2</c:v>
                </c:pt>
                <c:pt idx="75">
                  <c:v>0.98074774229992556</c:v>
                </c:pt>
                <c:pt idx="76">
                  <c:v>-0.29046648770007266</c:v>
                </c:pt>
                <c:pt idx="77">
                  <c:v>0.57903752229992733</c:v>
                </c:pt>
                <c:pt idx="78">
                  <c:v>1.8880667122999171</c:v>
                </c:pt>
                <c:pt idx="79">
                  <c:v>1.3857361022999157</c:v>
                </c:pt>
                <c:pt idx="80">
                  <c:v>-0.29586026770007834</c:v>
                </c:pt>
                <c:pt idx="81">
                  <c:v>0.56170294229991669</c:v>
                </c:pt>
                <c:pt idx="82">
                  <c:v>1.2116962922999193</c:v>
                </c:pt>
                <c:pt idx="83">
                  <c:v>1.4564350522999234</c:v>
                </c:pt>
                <c:pt idx="84">
                  <c:v>-0.11559077770007775</c:v>
                </c:pt>
                <c:pt idx="85">
                  <c:v>-3.3103187377000722</c:v>
                </c:pt>
                <c:pt idx="86">
                  <c:v>0.19579776229991808</c:v>
                </c:pt>
                <c:pt idx="87">
                  <c:v>-0.46978337770008238</c:v>
                </c:pt>
                <c:pt idx="88">
                  <c:v>-0.34585667770008399</c:v>
                </c:pt>
                <c:pt idx="89">
                  <c:v>2.3446871122999227</c:v>
                </c:pt>
                <c:pt idx="90">
                  <c:v>1.8716667722999176</c:v>
                </c:pt>
                <c:pt idx="91">
                  <c:v>1.3993611522999174</c:v>
                </c:pt>
                <c:pt idx="92">
                  <c:v>-1.1937591577000717</c:v>
                </c:pt>
                <c:pt idx="93">
                  <c:v>-2.8832100477000751</c:v>
                </c:pt>
                <c:pt idx="94">
                  <c:v>-1.8739803177000738</c:v>
                </c:pt>
                <c:pt idx="95">
                  <c:v>0.86184530229992617</c:v>
                </c:pt>
                <c:pt idx="96">
                  <c:v>0.76357258229991487</c:v>
                </c:pt>
                <c:pt idx="97">
                  <c:v>-0.56452560770007665</c:v>
                </c:pt>
                <c:pt idx="98">
                  <c:v>-0.33929909770007782</c:v>
                </c:pt>
                <c:pt idx="99">
                  <c:v>1.0782341922999166</c:v>
                </c:pt>
                <c:pt idx="100">
                  <c:v>-0.66568920770008333</c:v>
                </c:pt>
                <c:pt idx="101">
                  <c:v>-1.9029060277000838</c:v>
                </c:pt>
                <c:pt idx="102">
                  <c:v>-1.7001853577000787</c:v>
                </c:pt>
                <c:pt idx="103">
                  <c:v>0.67591972229992336</c:v>
                </c:pt>
                <c:pt idx="104">
                  <c:v>1.1809497122999204</c:v>
                </c:pt>
                <c:pt idx="105">
                  <c:v>2.6684680722999161</c:v>
                </c:pt>
                <c:pt idx="106">
                  <c:v>2.2137624022999205</c:v>
                </c:pt>
                <c:pt idx="107">
                  <c:v>0.52314259229991933</c:v>
                </c:pt>
                <c:pt idx="108">
                  <c:v>0.94535542229992586</c:v>
                </c:pt>
                <c:pt idx="109">
                  <c:v>0.65228824229991744</c:v>
                </c:pt>
                <c:pt idx="110">
                  <c:v>-0.56663428770008295</c:v>
                </c:pt>
                <c:pt idx="111">
                  <c:v>0.17482855229992822</c:v>
                </c:pt>
                <c:pt idx="112">
                  <c:v>-0.39091848770007687</c:v>
                </c:pt>
                <c:pt idx="113">
                  <c:v>-0.54687600770007805</c:v>
                </c:pt>
                <c:pt idx="114">
                  <c:v>1.1474533922999228</c:v>
                </c:pt>
                <c:pt idx="115">
                  <c:v>0.78177410229992006</c:v>
                </c:pt>
                <c:pt idx="116">
                  <c:v>-0.64779219770008467</c:v>
                </c:pt>
                <c:pt idx="117">
                  <c:v>-1.0570244877000761</c:v>
                </c:pt>
                <c:pt idx="118">
                  <c:v>0.61243430229991702</c:v>
                </c:pt>
                <c:pt idx="119">
                  <c:v>0.16254800229992838</c:v>
                </c:pt>
                <c:pt idx="120">
                  <c:v>-0.44255158770008052</c:v>
                </c:pt>
                <c:pt idx="121">
                  <c:v>-0.79406733770008486</c:v>
                </c:pt>
                <c:pt idx="122">
                  <c:v>-0.12922868770007767</c:v>
                </c:pt>
                <c:pt idx="123">
                  <c:v>-0.19428601770007958</c:v>
                </c:pt>
                <c:pt idx="124">
                  <c:v>-1.6491183077000784</c:v>
                </c:pt>
                <c:pt idx="125">
                  <c:v>-1.7878453677000721</c:v>
                </c:pt>
                <c:pt idx="126">
                  <c:v>-1.4802400177000834</c:v>
                </c:pt>
                <c:pt idx="127">
                  <c:v>0.92204973229992504</c:v>
                </c:pt>
                <c:pt idx="128">
                  <c:v>1.8404966422999252</c:v>
                </c:pt>
                <c:pt idx="129">
                  <c:v>1.4454631922999255</c:v>
                </c:pt>
                <c:pt idx="130">
                  <c:v>-0.15970863770007782</c:v>
                </c:pt>
                <c:pt idx="131">
                  <c:v>-1.3147349377000808</c:v>
                </c:pt>
                <c:pt idx="132">
                  <c:v>-1.2179252177000848</c:v>
                </c:pt>
                <c:pt idx="133">
                  <c:v>-1.3576940077000756</c:v>
                </c:pt>
                <c:pt idx="134">
                  <c:v>2.0784823022999177</c:v>
                </c:pt>
                <c:pt idx="135">
                  <c:v>-0.56040331770007867</c:v>
                </c:pt>
                <c:pt idx="136">
                  <c:v>-0.36525739770007704</c:v>
                </c:pt>
                <c:pt idx="137">
                  <c:v>-1.3050649877000779</c:v>
                </c:pt>
                <c:pt idx="138">
                  <c:v>-0.74728451770008064</c:v>
                </c:pt>
                <c:pt idx="139">
                  <c:v>-1.0143324077000813</c:v>
                </c:pt>
                <c:pt idx="140">
                  <c:v>-1.5315222977000786</c:v>
                </c:pt>
                <c:pt idx="141">
                  <c:v>-1.7242892077000818</c:v>
                </c:pt>
                <c:pt idx="142">
                  <c:v>1.2103900722999157</c:v>
                </c:pt>
                <c:pt idx="143">
                  <c:v>1.1410531322999162</c:v>
                </c:pt>
                <c:pt idx="144">
                  <c:v>-0.41366658770007803</c:v>
                </c:pt>
                <c:pt idx="145">
                  <c:v>-4.2081777000788634E-3</c:v>
                </c:pt>
                <c:pt idx="146">
                  <c:v>0.16244513229992208</c:v>
                </c:pt>
                <c:pt idx="147">
                  <c:v>0.84928404229992793</c:v>
                </c:pt>
                <c:pt idx="148">
                  <c:v>-1.3328990177000719</c:v>
                </c:pt>
                <c:pt idx="149">
                  <c:v>-0.72039996770007519</c:v>
                </c:pt>
                <c:pt idx="150">
                  <c:v>0.77084531229992592</c:v>
                </c:pt>
                <c:pt idx="151">
                  <c:v>-0.95245035770007291</c:v>
                </c:pt>
                <c:pt idx="152">
                  <c:v>-0.32400777770007494</c:v>
                </c:pt>
                <c:pt idx="153">
                  <c:v>1.8180327622999215</c:v>
                </c:pt>
                <c:pt idx="154">
                  <c:v>1.2036850422999237</c:v>
                </c:pt>
                <c:pt idx="155">
                  <c:v>1.0287278822999184</c:v>
                </c:pt>
                <c:pt idx="156">
                  <c:v>0.95722242229992105</c:v>
                </c:pt>
                <c:pt idx="157">
                  <c:v>-0.41126985770007707</c:v>
                </c:pt>
                <c:pt idx="158">
                  <c:v>-0.46364115770008141</c:v>
                </c:pt>
                <c:pt idx="159">
                  <c:v>-1.6912776977000732</c:v>
                </c:pt>
                <c:pt idx="160">
                  <c:v>-1.2964565577000826</c:v>
                </c:pt>
                <c:pt idx="161">
                  <c:v>2.571810229991911E-2</c:v>
                </c:pt>
                <c:pt idx="162">
                  <c:v>1.1579890722999266</c:v>
                </c:pt>
                <c:pt idx="163">
                  <c:v>0.74221089229992288</c:v>
                </c:pt>
                <c:pt idx="164">
                  <c:v>0.84843429229992751</c:v>
                </c:pt>
                <c:pt idx="165">
                  <c:v>-0.78598815770007491</c:v>
                </c:pt>
                <c:pt idx="166">
                  <c:v>-0.79729970770007697</c:v>
                </c:pt>
                <c:pt idx="167">
                  <c:v>-0.19278323770008399</c:v>
                </c:pt>
                <c:pt idx="168">
                  <c:v>2.0036319622999201</c:v>
                </c:pt>
                <c:pt idx="169">
                  <c:v>1.076368242299921</c:v>
                </c:pt>
                <c:pt idx="170">
                  <c:v>-0.42376452770007234</c:v>
                </c:pt>
                <c:pt idx="171">
                  <c:v>-0.52529721770008564</c:v>
                </c:pt>
                <c:pt idx="172">
                  <c:v>-1.0766416677000734</c:v>
                </c:pt>
                <c:pt idx="173">
                  <c:v>-0.26512123770007179</c:v>
                </c:pt>
                <c:pt idx="174">
                  <c:v>-0.17061470770008214</c:v>
                </c:pt>
                <c:pt idx="175">
                  <c:v>-1.78363924770008</c:v>
                </c:pt>
                <c:pt idx="176">
                  <c:v>-1.0470649377000854</c:v>
                </c:pt>
                <c:pt idx="177">
                  <c:v>-0.38016952770007606</c:v>
                </c:pt>
                <c:pt idx="178">
                  <c:v>-1.5158847877000738</c:v>
                </c:pt>
                <c:pt idx="179">
                  <c:v>-0.83209341770007939</c:v>
                </c:pt>
                <c:pt idx="180">
                  <c:v>1.4753861022999217</c:v>
                </c:pt>
                <c:pt idx="181">
                  <c:v>1.6866841822999277</c:v>
                </c:pt>
                <c:pt idx="182">
                  <c:v>1.2118426222999261</c:v>
                </c:pt>
                <c:pt idx="183">
                  <c:v>-1.0898756577000768</c:v>
                </c:pt>
                <c:pt idx="184">
                  <c:v>-0.51005905770007587</c:v>
                </c:pt>
                <c:pt idx="185">
                  <c:v>0.19989759229991932</c:v>
                </c:pt>
                <c:pt idx="186">
                  <c:v>0.83252226229991777</c:v>
                </c:pt>
                <c:pt idx="187">
                  <c:v>0.89269345229992325</c:v>
                </c:pt>
                <c:pt idx="188">
                  <c:v>-1.0434005777000834</c:v>
                </c:pt>
                <c:pt idx="189">
                  <c:v>-0.9047284477000801</c:v>
                </c:pt>
                <c:pt idx="190">
                  <c:v>-0.9571670077000789</c:v>
                </c:pt>
                <c:pt idx="191">
                  <c:v>-0.32244500770008244</c:v>
                </c:pt>
                <c:pt idx="192">
                  <c:v>-0.7731970777000754</c:v>
                </c:pt>
                <c:pt idx="193">
                  <c:v>0.97580637229992817</c:v>
                </c:pt>
                <c:pt idx="194">
                  <c:v>-1.1008687700083897E-2</c:v>
                </c:pt>
                <c:pt idx="195">
                  <c:v>-1.1677685277000762</c:v>
                </c:pt>
                <c:pt idx="196">
                  <c:v>-0.59225135770007853</c:v>
                </c:pt>
                <c:pt idx="197">
                  <c:v>-1.0515985677000828</c:v>
                </c:pt>
                <c:pt idx="198">
                  <c:v>-0.847426287700074</c:v>
                </c:pt>
                <c:pt idx="199">
                  <c:v>-0.99242004770007952</c:v>
                </c:pt>
                <c:pt idx="200">
                  <c:v>1.1004686722999253</c:v>
                </c:pt>
                <c:pt idx="201">
                  <c:v>1.7743317922999182</c:v>
                </c:pt>
                <c:pt idx="202">
                  <c:v>0.70750971229992388</c:v>
                </c:pt>
                <c:pt idx="203">
                  <c:v>-0.46849001770007703</c:v>
                </c:pt>
                <c:pt idx="204">
                  <c:v>0.47809144229992739</c:v>
                </c:pt>
                <c:pt idx="205">
                  <c:v>0.8631267022999225</c:v>
                </c:pt>
                <c:pt idx="206">
                  <c:v>0.90302174229992715</c:v>
                </c:pt>
                <c:pt idx="207">
                  <c:v>0.28720355229992833</c:v>
                </c:pt>
                <c:pt idx="208">
                  <c:v>-1.7562936677000778</c:v>
                </c:pt>
                <c:pt idx="209">
                  <c:v>-1.2218824977000793</c:v>
                </c:pt>
                <c:pt idx="210">
                  <c:v>-0.70821056770007829</c:v>
                </c:pt>
                <c:pt idx="211">
                  <c:v>0.61721443229991735</c:v>
                </c:pt>
                <c:pt idx="212">
                  <c:v>1.6251550122999276</c:v>
                </c:pt>
                <c:pt idx="213">
                  <c:v>0.16249838229991553</c:v>
                </c:pt>
                <c:pt idx="214">
                  <c:v>0.10885851229991772</c:v>
                </c:pt>
                <c:pt idx="215">
                  <c:v>1.7829653422999172</c:v>
                </c:pt>
                <c:pt idx="216">
                  <c:v>0.39992968229992698</c:v>
                </c:pt>
                <c:pt idx="217">
                  <c:v>1.4175106922999277</c:v>
                </c:pt>
                <c:pt idx="218">
                  <c:v>-9.1537577700080419E-2</c:v>
                </c:pt>
                <c:pt idx="219">
                  <c:v>-0.42669524770008138</c:v>
                </c:pt>
                <c:pt idx="220">
                  <c:v>-0.2091807377000805</c:v>
                </c:pt>
                <c:pt idx="221">
                  <c:v>4.4519782299914823E-2</c:v>
                </c:pt>
                <c:pt idx="222">
                  <c:v>-0.71769119770007705</c:v>
                </c:pt>
                <c:pt idx="223">
                  <c:v>-1.0046330077000789</c:v>
                </c:pt>
                <c:pt idx="224">
                  <c:v>-1.0246719777000806</c:v>
                </c:pt>
                <c:pt idx="225">
                  <c:v>4.4070062299923052E-2</c:v>
                </c:pt>
                <c:pt idx="226">
                  <c:v>0.69439949229992237</c:v>
                </c:pt>
                <c:pt idx="227">
                  <c:v>2.659883762299927</c:v>
                </c:pt>
                <c:pt idx="228">
                  <c:v>2.7891201622999233</c:v>
                </c:pt>
                <c:pt idx="229">
                  <c:v>0.39618448229991543</c:v>
                </c:pt>
                <c:pt idx="230">
                  <c:v>-0.24363499770008445</c:v>
                </c:pt>
                <c:pt idx="231">
                  <c:v>0.76260239229992521</c:v>
                </c:pt>
                <c:pt idx="232">
                  <c:v>0.59177451229992073</c:v>
                </c:pt>
                <c:pt idx="233">
                  <c:v>8.7163162299916053E-2</c:v>
                </c:pt>
                <c:pt idx="234">
                  <c:v>-4.3138767700085623E-2</c:v>
                </c:pt>
                <c:pt idx="235">
                  <c:v>0.84576517229992021</c:v>
                </c:pt>
                <c:pt idx="236">
                  <c:v>-0.29739903770007459</c:v>
                </c:pt>
                <c:pt idx="237">
                  <c:v>-0.72731769770007304</c:v>
                </c:pt>
                <c:pt idx="238">
                  <c:v>0.15378299229992365</c:v>
                </c:pt>
                <c:pt idx="239">
                  <c:v>0.65243292229992278</c:v>
                </c:pt>
                <c:pt idx="240">
                  <c:v>0.61542837229991676</c:v>
                </c:pt>
                <c:pt idx="241">
                  <c:v>-0.16575326770008303</c:v>
                </c:pt>
                <c:pt idx="242">
                  <c:v>0.71897606229991595</c:v>
                </c:pt>
                <c:pt idx="243">
                  <c:v>2.6455006222999202</c:v>
                </c:pt>
                <c:pt idx="244">
                  <c:v>1.8085437922999148</c:v>
                </c:pt>
                <c:pt idx="245">
                  <c:v>0.12882014229991512</c:v>
                </c:pt>
                <c:pt idx="246">
                  <c:v>0.32098998229992048</c:v>
                </c:pt>
                <c:pt idx="247">
                  <c:v>-0.35466393770008153</c:v>
                </c:pt>
                <c:pt idx="248">
                  <c:v>-1.0282649477000803</c:v>
                </c:pt>
                <c:pt idx="249">
                  <c:v>-0.44723028770008</c:v>
                </c:pt>
                <c:pt idx="250">
                  <c:v>-2.5121345677000733</c:v>
                </c:pt>
                <c:pt idx="251">
                  <c:v>-2.4965412677000813</c:v>
                </c:pt>
                <c:pt idx="252">
                  <c:v>-1.0617254977000812</c:v>
                </c:pt>
                <c:pt idx="253">
                  <c:v>-1.2109410277000734</c:v>
                </c:pt>
                <c:pt idx="254">
                  <c:v>-1.4101693177000811</c:v>
                </c:pt>
                <c:pt idx="255">
                  <c:v>-0.88904686770007402</c:v>
                </c:pt>
                <c:pt idx="256">
                  <c:v>-1.7228218677000768</c:v>
                </c:pt>
                <c:pt idx="257">
                  <c:v>-1.1425301077000825</c:v>
                </c:pt>
                <c:pt idx="258">
                  <c:v>-0.67342091770008494</c:v>
                </c:pt>
                <c:pt idx="259">
                  <c:v>-5.3675577000831254E-3</c:v>
                </c:pt>
                <c:pt idx="260">
                  <c:v>1.3835105222999147</c:v>
                </c:pt>
                <c:pt idx="261">
                  <c:v>1.0347417422999143</c:v>
                </c:pt>
                <c:pt idx="262">
                  <c:v>0.25737466229992378</c:v>
                </c:pt>
                <c:pt idx="263">
                  <c:v>-2.6022517700084791E-2</c:v>
                </c:pt>
                <c:pt idx="264">
                  <c:v>0.16508761229992786</c:v>
                </c:pt>
                <c:pt idx="265">
                  <c:v>-0.87935857770007431</c:v>
                </c:pt>
                <c:pt idx="266">
                  <c:v>-0.66139600770007689</c:v>
                </c:pt>
                <c:pt idx="267">
                  <c:v>0.2062419622999272</c:v>
                </c:pt>
                <c:pt idx="268">
                  <c:v>-1.018075257700076</c:v>
                </c:pt>
                <c:pt idx="269">
                  <c:v>0.22345593229992744</c:v>
                </c:pt>
                <c:pt idx="270">
                  <c:v>1.5513929222999252</c:v>
                </c:pt>
                <c:pt idx="271">
                  <c:v>0.26294373229991663</c:v>
                </c:pt>
                <c:pt idx="272">
                  <c:v>-0.51846867770008487</c:v>
                </c:pt>
                <c:pt idx="273">
                  <c:v>-1.2376339177000801</c:v>
                </c:pt>
                <c:pt idx="274">
                  <c:v>0.14286148229992079</c:v>
                </c:pt>
                <c:pt idx="275">
                  <c:v>-0.57369446770007926</c:v>
                </c:pt>
                <c:pt idx="276">
                  <c:v>-0.57903138770008411</c:v>
                </c:pt>
                <c:pt idx="277">
                  <c:v>-1.0037096477000773</c:v>
                </c:pt>
                <c:pt idx="278">
                  <c:v>-0.34704134770008466</c:v>
                </c:pt>
                <c:pt idx="279">
                  <c:v>-1.6708204377000726</c:v>
                </c:pt>
                <c:pt idx="280">
                  <c:v>0.45860253229992054</c:v>
                </c:pt>
                <c:pt idx="281">
                  <c:v>-0.1576780177000785</c:v>
                </c:pt>
                <c:pt idx="282">
                  <c:v>-0.14177213770007313</c:v>
                </c:pt>
                <c:pt idx="283">
                  <c:v>-0.2197621677000825</c:v>
                </c:pt>
                <c:pt idx="284">
                  <c:v>-0.82091941770008248</c:v>
                </c:pt>
                <c:pt idx="285">
                  <c:v>-1.2838823877000749</c:v>
                </c:pt>
                <c:pt idx="286">
                  <c:v>0.44286569229991812</c:v>
                </c:pt>
                <c:pt idx="287">
                  <c:v>0.155764282299927</c:v>
                </c:pt>
                <c:pt idx="288">
                  <c:v>0.26228980229991805</c:v>
                </c:pt>
                <c:pt idx="289">
                  <c:v>-0.66033153770007402</c:v>
                </c:pt>
                <c:pt idx="290">
                  <c:v>-1.0915465477000765</c:v>
                </c:pt>
                <c:pt idx="291">
                  <c:v>4.5939432299917371E-2</c:v>
                </c:pt>
                <c:pt idx="292">
                  <c:v>1.3159568722999211</c:v>
                </c:pt>
                <c:pt idx="293">
                  <c:v>0.63099664229991959</c:v>
                </c:pt>
                <c:pt idx="294">
                  <c:v>-1.407588197700079</c:v>
                </c:pt>
                <c:pt idx="295">
                  <c:v>0.99462492229991994</c:v>
                </c:pt>
                <c:pt idx="296">
                  <c:v>0.19302285229991867</c:v>
                </c:pt>
                <c:pt idx="297">
                  <c:v>-1.693640417700081</c:v>
                </c:pt>
                <c:pt idx="298">
                  <c:v>1.5508542322999261</c:v>
                </c:pt>
                <c:pt idx="299">
                  <c:v>1.0650931222999276</c:v>
                </c:pt>
                <c:pt idx="300">
                  <c:v>-1.2574123377000745</c:v>
                </c:pt>
                <c:pt idx="301">
                  <c:v>-1.7268943577000755</c:v>
                </c:pt>
                <c:pt idx="302">
                  <c:v>-0.26084726770007194</c:v>
                </c:pt>
                <c:pt idx="303">
                  <c:v>0.58239225229992542</c:v>
                </c:pt>
                <c:pt idx="304">
                  <c:v>-0.39351891770007796</c:v>
                </c:pt>
                <c:pt idx="305">
                  <c:v>1.4424153222999223</c:v>
                </c:pt>
                <c:pt idx="306">
                  <c:v>0.49244594229992344</c:v>
                </c:pt>
                <c:pt idx="307">
                  <c:v>-1.2914228677000779</c:v>
                </c:pt>
                <c:pt idx="308">
                  <c:v>6.8626642299918217E-2</c:v>
                </c:pt>
                <c:pt idx="309">
                  <c:v>1.7881864422999172</c:v>
                </c:pt>
                <c:pt idx="310">
                  <c:v>0.2653515222999232</c:v>
                </c:pt>
                <c:pt idx="311">
                  <c:v>-1.7480715577000723</c:v>
                </c:pt>
                <c:pt idx="312">
                  <c:v>-6.7489377700084674E-2</c:v>
                </c:pt>
                <c:pt idx="313">
                  <c:v>-1.5328750177000785</c:v>
                </c:pt>
                <c:pt idx="314">
                  <c:v>-2.0955791077000754</c:v>
                </c:pt>
                <c:pt idx="315">
                  <c:v>0.20048194229991623</c:v>
                </c:pt>
                <c:pt idx="316">
                  <c:v>0.72413110229992128</c:v>
                </c:pt>
                <c:pt idx="317">
                  <c:v>0.14091748229992618</c:v>
                </c:pt>
                <c:pt idx="318">
                  <c:v>0.25064851229991802</c:v>
                </c:pt>
                <c:pt idx="319">
                  <c:v>-1.4139807700075835E-2</c:v>
                </c:pt>
                <c:pt idx="320">
                  <c:v>-1.3518444077000851</c:v>
                </c:pt>
                <c:pt idx="321">
                  <c:v>0.49973139229992114</c:v>
                </c:pt>
                <c:pt idx="322">
                  <c:v>2.0609269622999165</c:v>
                </c:pt>
                <c:pt idx="323">
                  <c:v>1.322490072299928</c:v>
                </c:pt>
                <c:pt idx="324">
                  <c:v>0.25087072229992202</c:v>
                </c:pt>
                <c:pt idx="325">
                  <c:v>2.1239209722999277</c:v>
                </c:pt>
                <c:pt idx="326">
                  <c:v>0.95317927229991994</c:v>
                </c:pt>
                <c:pt idx="327">
                  <c:v>-0.29432495770008416</c:v>
                </c:pt>
                <c:pt idx="328">
                  <c:v>-6.754675770007168E-2</c:v>
                </c:pt>
                <c:pt idx="329">
                  <c:v>1.5496121422999209</c:v>
                </c:pt>
                <c:pt idx="330">
                  <c:v>2.5733228122999208</c:v>
                </c:pt>
                <c:pt idx="331">
                  <c:v>0.85105816229992115</c:v>
                </c:pt>
                <c:pt idx="332">
                  <c:v>7.7490052299921786E-2</c:v>
                </c:pt>
                <c:pt idx="333">
                  <c:v>-1.5563861377000734</c:v>
                </c:pt>
                <c:pt idx="334">
                  <c:v>-1.238534057700079</c:v>
                </c:pt>
                <c:pt idx="335">
                  <c:v>-1.0859742377000856</c:v>
                </c:pt>
                <c:pt idx="336">
                  <c:v>-1.2563353277000857</c:v>
                </c:pt>
                <c:pt idx="337">
                  <c:v>1.2840885422999264</c:v>
                </c:pt>
                <c:pt idx="338">
                  <c:v>0.38558781229991723</c:v>
                </c:pt>
                <c:pt idx="339">
                  <c:v>-0.65495902770007319</c:v>
                </c:pt>
                <c:pt idx="340">
                  <c:v>-0.1122822277000779</c:v>
                </c:pt>
                <c:pt idx="341">
                  <c:v>1.4574643922999257</c:v>
                </c:pt>
                <c:pt idx="342">
                  <c:v>1.4197991822999256</c:v>
                </c:pt>
                <c:pt idx="343">
                  <c:v>3.2045160522999225</c:v>
                </c:pt>
                <c:pt idx="344">
                  <c:v>1.4526226522999224</c:v>
                </c:pt>
                <c:pt idx="345">
                  <c:v>0.19945596229992191</c:v>
                </c:pt>
                <c:pt idx="346">
                  <c:v>-9.9917877000734734E-3</c:v>
                </c:pt>
                <c:pt idx="347">
                  <c:v>1.3997382722999276</c:v>
                </c:pt>
                <c:pt idx="348">
                  <c:v>1.3806002022999166</c:v>
                </c:pt>
                <c:pt idx="349">
                  <c:v>0.32272969229991588</c:v>
                </c:pt>
                <c:pt idx="350">
                  <c:v>-1.137510087700079</c:v>
                </c:pt>
                <c:pt idx="351">
                  <c:v>-0.50436075770008415</c:v>
                </c:pt>
                <c:pt idx="352">
                  <c:v>1.4705021522999147</c:v>
                </c:pt>
                <c:pt idx="353">
                  <c:v>0.65374847229992383</c:v>
                </c:pt>
                <c:pt idx="354">
                  <c:v>0.51056281229992351</c:v>
                </c:pt>
                <c:pt idx="355">
                  <c:v>0.38688168229991504</c:v>
                </c:pt>
                <c:pt idx="356">
                  <c:v>0.97300057229992376</c:v>
                </c:pt>
                <c:pt idx="357">
                  <c:v>-0.30649714770008529</c:v>
                </c:pt>
                <c:pt idx="358">
                  <c:v>1.9013693222999279</c:v>
                </c:pt>
                <c:pt idx="359">
                  <c:v>-1.5869617700076333E-2</c:v>
                </c:pt>
                <c:pt idx="360">
                  <c:v>-0.91496290770007249</c:v>
                </c:pt>
                <c:pt idx="361">
                  <c:v>0.42439643229991475</c:v>
                </c:pt>
                <c:pt idx="362">
                  <c:v>0.85638065229991867</c:v>
                </c:pt>
                <c:pt idx="363">
                  <c:v>1.2470163722999246</c:v>
                </c:pt>
                <c:pt idx="364">
                  <c:v>2.5714042299924245E-2</c:v>
                </c:pt>
                <c:pt idx="365">
                  <c:v>-0.40296071770008268</c:v>
                </c:pt>
                <c:pt idx="366">
                  <c:v>-0.20673790770007372</c:v>
                </c:pt>
                <c:pt idx="367">
                  <c:v>1.5966258322999209</c:v>
                </c:pt>
                <c:pt idx="368">
                  <c:v>1.7409466522999253</c:v>
                </c:pt>
                <c:pt idx="369">
                  <c:v>1.3927731022999268</c:v>
                </c:pt>
                <c:pt idx="370">
                  <c:v>-0.31402547770008482</c:v>
                </c:pt>
                <c:pt idx="371">
                  <c:v>0.39315617229992483</c:v>
                </c:pt>
                <c:pt idx="372">
                  <c:v>0.58620376229991678</c:v>
                </c:pt>
                <c:pt idx="373">
                  <c:v>1.6534414722999173</c:v>
                </c:pt>
                <c:pt idx="374">
                  <c:v>2.8607846622999205</c:v>
                </c:pt>
                <c:pt idx="375">
                  <c:v>0.94419333229991764</c:v>
                </c:pt>
                <c:pt idx="376">
                  <c:v>-0.66750177770008179</c:v>
                </c:pt>
                <c:pt idx="377">
                  <c:v>-1.5172833077000831</c:v>
                </c:pt>
                <c:pt idx="378">
                  <c:v>-0.82317820770008154</c:v>
                </c:pt>
                <c:pt idx="379">
                  <c:v>-0.39022663770008137</c:v>
                </c:pt>
                <c:pt idx="380">
                  <c:v>0.40284263229992234</c:v>
                </c:pt>
                <c:pt idx="381">
                  <c:v>0.24472750229992357</c:v>
                </c:pt>
                <c:pt idx="382">
                  <c:v>-0.30509481770008051</c:v>
                </c:pt>
                <c:pt idx="383">
                  <c:v>0.83863074229992662</c:v>
                </c:pt>
                <c:pt idx="384">
                  <c:v>-0.31265258770007165</c:v>
                </c:pt>
                <c:pt idx="385">
                  <c:v>2.4447932299921149E-2</c:v>
                </c:pt>
                <c:pt idx="386">
                  <c:v>-0.26695644770008187</c:v>
                </c:pt>
                <c:pt idx="387">
                  <c:v>0.58738101229991457</c:v>
                </c:pt>
                <c:pt idx="388">
                  <c:v>1.8482978322999202</c:v>
                </c:pt>
                <c:pt idx="389">
                  <c:v>0.66018689229991878</c:v>
                </c:pt>
                <c:pt idx="390">
                  <c:v>0.3131764422999197</c:v>
                </c:pt>
                <c:pt idx="391">
                  <c:v>0.1991634122999244</c:v>
                </c:pt>
                <c:pt idx="392">
                  <c:v>-0.74335653770008037</c:v>
                </c:pt>
                <c:pt idx="393">
                  <c:v>-0.23445468770007949</c:v>
                </c:pt>
                <c:pt idx="394">
                  <c:v>0.40197540229992512</c:v>
                </c:pt>
                <c:pt idx="395">
                  <c:v>0.75491322229991908</c:v>
                </c:pt>
                <c:pt idx="396">
                  <c:v>0.16447716229991727</c:v>
                </c:pt>
                <c:pt idx="397">
                  <c:v>-3.0746177000793296E-3</c:v>
                </c:pt>
                <c:pt idx="398">
                  <c:v>-1.1682781177000834</c:v>
                </c:pt>
                <c:pt idx="399">
                  <c:v>-1.0276378077000743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2-4455-BD94-65E97D0E9CC5}"/>
            </c:ext>
          </c:extLst>
        </c:ser>
        <c:ser>
          <c:idx val="1"/>
          <c:order val="1"/>
          <c:tx>
            <c:strRef>
              <c:f>'versi 3'!$E$1</c:f>
              <c:strCache>
                <c:ptCount val="1"/>
                <c:pt idx="0">
                  <c:v>Yt_pred = - 0.99et-1 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val>
            <c:numRef>
              <c:f>'versi 3'!$E$2:$E$401</c:f>
              <c:numCache>
                <c:formatCode>General</c:formatCode>
                <c:ptCount val="400"/>
                <c:pt idx="0">
                  <c:v>0</c:v>
                </c:pt>
                <c:pt idx="1">
                  <c:v>1.5935864152230752</c:v>
                </c:pt>
                <c:pt idx="2">
                  <c:v>1.8824854285939288</c:v>
                </c:pt>
                <c:pt idx="3">
                  <c:v>2.4731948402310602</c:v>
                </c:pt>
                <c:pt idx="4">
                  <c:v>2.4567953235518254</c:v>
                </c:pt>
                <c:pt idx="5">
                  <c:v>3.6160543002393899</c:v>
                </c:pt>
                <c:pt idx="6">
                  <c:v>4.8416317071600679</c:v>
                </c:pt>
                <c:pt idx="7">
                  <c:v>5.2742790489115512</c:v>
                </c:pt>
                <c:pt idx="8">
                  <c:v>6.7455303365455066</c:v>
                </c:pt>
                <c:pt idx="9">
                  <c:v>7.3039404480031278</c:v>
                </c:pt>
                <c:pt idx="10">
                  <c:v>7.4943626132461736</c:v>
                </c:pt>
                <c:pt idx="11">
                  <c:v>9.0844533954367979</c:v>
                </c:pt>
                <c:pt idx="12">
                  <c:v>11.173585819905508</c:v>
                </c:pt>
                <c:pt idx="13">
                  <c:v>11.241041385029527</c:v>
                </c:pt>
                <c:pt idx="14">
                  <c:v>9.6653367684023106</c:v>
                </c:pt>
                <c:pt idx="15">
                  <c:v>8.7373234635413617</c:v>
                </c:pt>
                <c:pt idx="16">
                  <c:v>8.1591927924290228</c:v>
                </c:pt>
                <c:pt idx="17">
                  <c:v>7.7807337103278043</c:v>
                </c:pt>
                <c:pt idx="18">
                  <c:v>7.3154910193476059</c:v>
                </c:pt>
                <c:pt idx="19">
                  <c:v>5.7955953300772034</c:v>
                </c:pt>
                <c:pt idx="20">
                  <c:v>6.4475383873995069</c:v>
                </c:pt>
                <c:pt idx="21">
                  <c:v>6.543112974848591</c:v>
                </c:pt>
                <c:pt idx="22">
                  <c:v>6.7087154500231874</c:v>
                </c:pt>
                <c:pt idx="23">
                  <c:v>6.9240342676460296</c:v>
                </c:pt>
                <c:pt idx="24">
                  <c:v>7.2239391133926523</c:v>
                </c:pt>
                <c:pt idx="25">
                  <c:v>7.6296451483818055</c:v>
                </c:pt>
                <c:pt idx="26">
                  <c:v>8.9130910830210652</c:v>
                </c:pt>
                <c:pt idx="27">
                  <c:v>9.2847006259139349</c:v>
                </c:pt>
                <c:pt idx="28">
                  <c:v>7.3759260302778751</c:v>
                </c:pt>
                <c:pt idx="29">
                  <c:v>6.0997442298981781</c:v>
                </c:pt>
                <c:pt idx="30">
                  <c:v>5.8332271908222744</c:v>
                </c:pt>
                <c:pt idx="31">
                  <c:v>6.6625204224371304</c:v>
                </c:pt>
                <c:pt idx="32">
                  <c:v>7.2762106627358376</c:v>
                </c:pt>
                <c:pt idx="33">
                  <c:v>6.8536298659315538</c:v>
                </c:pt>
                <c:pt idx="34">
                  <c:v>6.7074321932953174</c:v>
                </c:pt>
                <c:pt idx="35">
                  <c:v>7.1177571144854408</c:v>
                </c:pt>
                <c:pt idx="36">
                  <c:v>6.9268700577636633</c:v>
                </c:pt>
                <c:pt idx="37">
                  <c:v>7.5211650711090998</c:v>
                </c:pt>
                <c:pt idx="38">
                  <c:v>7.5998172876210894</c:v>
                </c:pt>
                <c:pt idx="39">
                  <c:v>6.5747341987679526</c:v>
                </c:pt>
                <c:pt idx="40">
                  <c:v>4.5168121513033554</c:v>
                </c:pt>
                <c:pt idx="41">
                  <c:v>3.6203273261133928</c:v>
                </c:pt>
                <c:pt idx="42">
                  <c:v>2.2868496325753425</c:v>
                </c:pt>
                <c:pt idx="43">
                  <c:v>0.68673016197266701</c:v>
                </c:pt>
                <c:pt idx="44">
                  <c:v>1.0787295713760188</c:v>
                </c:pt>
                <c:pt idx="45">
                  <c:v>2.9559811832853411</c:v>
                </c:pt>
                <c:pt idx="46">
                  <c:v>4.2112831572755622</c:v>
                </c:pt>
                <c:pt idx="47">
                  <c:v>3.3248140447258883</c:v>
                </c:pt>
                <c:pt idx="48">
                  <c:v>2.4408421908017068</c:v>
                </c:pt>
                <c:pt idx="49">
                  <c:v>2.7237418644167652</c:v>
                </c:pt>
                <c:pt idx="50">
                  <c:v>1.5691701287956714</c:v>
                </c:pt>
                <c:pt idx="51">
                  <c:v>0.47063442343079692</c:v>
                </c:pt>
                <c:pt idx="52">
                  <c:v>2.4215947580195705</c:v>
                </c:pt>
                <c:pt idx="53">
                  <c:v>3.5514274610624583</c:v>
                </c:pt>
                <c:pt idx="54">
                  <c:v>3.0765866162749078</c:v>
                </c:pt>
                <c:pt idx="55">
                  <c:v>2.1824421042352431</c:v>
                </c:pt>
                <c:pt idx="56">
                  <c:v>1.2989579446159698</c:v>
                </c:pt>
                <c:pt idx="57">
                  <c:v>1.0643734255928818</c:v>
                </c:pt>
                <c:pt idx="58">
                  <c:v>2.4542670173600256</c:v>
                </c:pt>
                <c:pt idx="59">
                  <c:v>3.6733066475095102</c:v>
                </c:pt>
                <c:pt idx="60">
                  <c:v>4.8685058583574925</c:v>
                </c:pt>
                <c:pt idx="61">
                  <c:v>6.0791034308970016</c:v>
                </c:pt>
                <c:pt idx="62">
                  <c:v>7.6245244204111078</c:v>
                </c:pt>
                <c:pt idx="63">
                  <c:v>7.6560418520300786</c:v>
                </c:pt>
                <c:pt idx="64">
                  <c:v>7.035142702232859</c:v>
                </c:pt>
                <c:pt idx="65">
                  <c:v>7.0193274029336026</c:v>
                </c:pt>
                <c:pt idx="66">
                  <c:v>7.7577864315273377</c:v>
                </c:pt>
                <c:pt idx="67">
                  <c:v>8.1420124393351454</c:v>
                </c:pt>
                <c:pt idx="68">
                  <c:v>6.9964606275648675</c:v>
                </c:pt>
                <c:pt idx="69">
                  <c:v>8.1034338580122913</c:v>
                </c:pt>
                <c:pt idx="70">
                  <c:v>8.6444784317552514</c:v>
                </c:pt>
                <c:pt idx="71">
                  <c:v>9.0882389559607795</c:v>
                </c:pt>
                <c:pt idx="72">
                  <c:v>10.964380515324242</c:v>
                </c:pt>
                <c:pt idx="73">
                  <c:v>13.771919999994081</c:v>
                </c:pt>
                <c:pt idx="74">
                  <c:v>15.667843700217217</c:v>
                </c:pt>
                <c:pt idx="75">
                  <c:v>15.608666014838128</c:v>
                </c:pt>
                <c:pt idx="76">
                  <c:v>14.481639089812822</c:v>
                </c:pt>
                <c:pt idx="77">
                  <c:v>14.624384521737765</c:v>
                </c:pt>
                <c:pt idx="78">
                  <c:v>13.904893529443459</c:v>
                </c:pt>
                <c:pt idx="79">
                  <c:v>11.896658548972107</c:v>
                </c:pt>
                <c:pt idx="80">
                  <c:v>10.40581322220547</c:v>
                </c:pt>
                <c:pt idx="81">
                  <c:v>10.594656755006493</c:v>
                </c:pt>
                <c:pt idx="82">
                  <c:v>9.9326242745795117</c:v>
                </c:pt>
                <c:pt idx="83">
                  <c:v>8.6337187024567967</c:v>
                </c:pt>
                <c:pt idx="84">
                  <c:v>7.1055108136553047</c:v>
                </c:pt>
                <c:pt idx="85">
                  <c:v>7.1488905754418282</c:v>
                </c:pt>
                <c:pt idx="86">
                  <c:v>10.354617220010482</c:v>
                </c:pt>
                <c:pt idx="87">
                  <c:v>10.057231263133458</c:v>
                </c:pt>
                <c:pt idx="88">
                  <c:v>10.421744494425205</c:v>
                </c:pt>
                <c:pt idx="89">
                  <c:v>10.659925160404036</c:v>
                </c:pt>
                <c:pt idx="90">
                  <c:v>8.2320856676230729</c:v>
                </c:pt>
                <c:pt idx="91">
                  <c:v>6.2968147063699238</c:v>
                </c:pt>
                <c:pt idx="92">
                  <c:v>4.8484790185293063</c:v>
                </c:pt>
                <c:pt idx="93">
                  <c:v>5.9818157944670842</c:v>
                </c:pt>
                <c:pt idx="94">
                  <c:v>8.7763755837454891</c:v>
                </c:pt>
                <c:pt idx="95">
                  <c:v>10.543852342431107</c:v>
                </c:pt>
                <c:pt idx="96">
                  <c:v>9.5851869697298682</c:v>
                </c:pt>
                <c:pt idx="97">
                  <c:v>8.7333982435556532</c:v>
                </c:pt>
                <c:pt idx="98">
                  <c:v>9.2049446127431729</c:v>
                </c:pt>
                <c:pt idx="99">
                  <c:v>9.4488012733388178</c:v>
                </c:pt>
                <c:pt idx="100">
                  <c:v>8.2868614102285125</c:v>
                </c:pt>
                <c:pt idx="101">
                  <c:v>8.8630251117493106</c:v>
                </c:pt>
                <c:pt idx="102">
                  <c:v>10.6582718280549</c:v>
                </c:pt>
                <c:pt idx="103">
                  <c:v>12.234872613897428</c:v>
                </c:pt>
                <c:pt idx="104">
                  <c:v>11.443363362681529</c:v>
                </c:pt>
                <c:pt idx="105">
                  <c:v>10.159789513877792</c:v>
                </c:pt>
                <c:pt idx="106">
                  <c:v>7.4164082271620968</c:v>
                </c:pt>
                <c:pt idx="107">
                  <c:v>5.1506193666135545</c:v>
                </c:pt>
                <c:pt idx="108">
                  <c:v>4.581202006570499</c:v>
                </c:pt>
                <c:pt idx="109">
                  <c:v>3.5994881184278675</c:v>
                </c:pt>
                <c:pt idx="110">
                  <c:v>2.9177278773666706</c:v>
                </c:pt>
                <c:pt idx="111">
                  <c:v>3.4495185434160862</c:v>
                </c:pt>
                <c:pt idx="112">
                  <c:v>3.2419430912049965</c:v>
                </c:pt>
                <c:pt idx="113">
                  <c:v>3.5965329631160228</c:v>
                </c:pt>
                <c:pt idx="114">
                  <c:v>4.1019748811079397</c:v>
                </c:pt>
                <c:pt idx="115">
                  <c:v>2.9249762739199365</c:v>
                </c:pt>
                <c:pt idx="116">
                  <c:v>2.1217701499038162</c:v>
                </c:pt>
                <c:pt idx="117">
                  <c:v>2.741866724127862</c:v>
                </c:pt>
                <c:pt idx="118">
                  <c:v>3.7609022997096586</c:v>
                </c:pt>
                <c:pt idx="119">
                  <c:v>3.1169833174356443</c:v>
                </c:pt>
                <c:pt idx="120">
                  <c:v>2.9248909619843588</c:v>
                </c:pt>
                <c:pt idx="121">
                  <c:v>3.3337681241875949</c:v>
                </c:pt>
                <c:pt idx="122">
                  <c:v>4.0865571072688027</c:v>
                </c:pt>
                <c:pt idx="123">
                  <c:v>4.1736279370191918</c:v>
                </c:pt>
                <c:pt idx="124">
                  <c:v>4.3242348151720789</c:v>
                </c:pt>
                <c:pt idx="125">
                  <c:v>5.9136195916434353</c:v>
                </c:pt>
                <c:pt idx="126">
                  <c:v>7.6244503097500722</c:v>
                </c:pt>
                <c:pt idx="127">
                  <c:v>9.0136434241756547</c:v>
                </c:pt>
                <c:pt idx="128">
                  <c:v>8.0106777549569728</c:v>
                </c:pt>
                <c:pt idx="129">
                  <c:v>6.108479301530477</c:v>
                </c:pt>
                <c:pt idx="130">
                  <c:v>4.6163859481382463</c:v>
                </c:pt>
                <c:pt idx="131">
                  <c:v>4.7283336399799412</c:v>
                </c:pt>
                <c:pt idx="132">
                  <c:v>5.9826378919032219</c:v>
                </c:pt>
                <c:pt idx="133">
                  <c:v>7.1285574785072736</c:v>
                </c:pt>
                <c:pt idx="134">
                  <c:v>8.4013889713452752</c:v>
                </c:pt>
                <c:pt idx="135">
                  <c:v>6.2596776023549037</c:v>
                </c:pt>
                <c:pt idx="136">
                  <c:v>6.7518801108544322</c:v>
                </c:pt>
                <c:pt idx="137">
                  <c:v>7.0459661334689638</c:v>
                </c:pt>
                <c:pt idx="138">
                  <c:v>8.2675208099573521</c:v>
                </c:pt>
                <c:pt idx="139">
                  <c:v>8.9246572743808574</c:v>
                </c:pt>
                <c:pt idx="140">
                  <c:v>9.8395997852601287</c:v>
                </c:pt>
                <c:pt idx="141">
                  <c:v>11.257410862130605</c:v>
                </c:pt>
                <c:pt idx="142">
                  <c:v>12.851883069132381</c:v>
                </c:pt>
                <c:pt idx="143">
                  <c:v>11.52507806686414</c:v>
                </c:pt>
                <c:pt idx="144">
                  <c:v>10.280184685218581</c:v>
                </c:pt>
                <c:pt idx="145">
                  <c:v>10.586912760189472</c:v>
                </c:pt>
                <c:pt idx="146">
                  <c:v>10.485209728510656</c:v>
                </c:pt>
                <c:pt idx="147">
                  <c:v>10.219536950248626</c:v>
                </c:pt>
                <c:pt idx="148">
                  <c:v>9.2765503788692119</c:v>
                </c:pt>
                <c:pt idx="149">
                  <c:v>10.50335490260359</c:v>
                </c:pt>
                <c:pt idx="150">
                  <c:v>11.111517321600628</c:v>
                </c:pt>
                <c:pt idx="151">
                  <c:v>10.237265289207695</c:v>
                </c:pt>
                <c:pt idx="152">
                  <c:v>11.077818490438689</c:v>
                </c:pt>
                <c:pt idx="153">
                  <c:v>11.287808005457377</c:v>
                </c:pt>
                <c:pt idx="154">
                  <c:v>9.3750774907258805</c:v>
                </c:pt>
                <c:pt idx="155">
                  <c:v>8.0896785239416964</c:v>
                </c:pt>
                <c:pt idx="156">
                  <c:v>6.9903411352253597</c:v>
                </c:pt>
                <c:pt idx="157">
                  <c:v>5.9727875257961847</c:v>
                </c:pt>
                <c:pt idx="158">
                  <c:v>6.3202168096612992</c:v>
                </c:pt>
                <c:pt idx="159">
                  <c:v>6.7160193876877665</c:v>
                </c:pt>
                <c:pt idx="160">
                  <c:v>8.3232241145339607</c:v>
                </c:pt>
                <c:pt idx="161">
                  <c:v>9.523483865511702</c:v>
                </c:pt>
                <c:pt idx="162">
                  <c:v>9.4027881055796652</c:v>
                </c:pt>
                <c:pt idx="163">
                  <c:v>8.1623510429469412</c:v>
                </c:pt>
                <c:pt idx="164">
                  <c:v>7.3459387491405481</c:v>
                </c:pt>
                <c:pt idx="165">
                  <c:v>6.4325294122722143</c:v>
                </c:pt>
                <c:pt idx="166">
                  <c:v>7.1463323942725658</c:v>
                </c:pt>
                <c:pt idx="167">
                  <c:v>7.8641957809529162</c:v>
                </c:pt>
                <c:pt idx="168">
                  <c:v>7.9764092284664692</c:v>
                </c:pt>
                <c:pt idx="169">
                  <c:v>5.9130494935048832</c:v>
                </c:pt>
                <c:pt idx="170">
                  <c:v>4.7883144386929128</c:v>
                </c:pt>
                <c:pt idx="171">
                  <c:v>5.159958176729055</c:v>
                </c:pt>
                <c:pt idx="172">
                  <c:v>5.6284028404848492</c:v>
                </c:pt>
                <c:pt idx="173">
                  <c:v>6.6379940631030729</c:v>
                </c:pt>
                <c:pt idx="174">
                  <c:v>6.8340841477951129</c:v>
                </c:pt>
                <c:pt idx="175">
                  <c:v>6.9346518669402428</c:v>
                </c:pt>
                <c:pt idx="176">
                  <c:v>8.6311082034939197</c:v>
                </c:pt>
                <c:pt idx="177">
                  <c:v>9.5813914097820643</c:v>
                </c:pt>
                <c:pt idx="178">
                  <c:v>9.8619453281073195</c:v>
                </c:pt>
                <c:pt idx="179">
                  <c:v>11.264051814649319</c:v>
                </c:pt>
                <c:pt idx="180">
                  <c:v>11.975183780025905</c:v>
                </c:pt>
                <c:pt idx="181">
                  <c:v>10.394799700948724</c:v>
                </c:pt>
                <c:pt idx="182">
                  <c:v>8.621034363462309</c:v>
                </c:pt>
                <c:pt idx="183">
                  <c:v>7.3350998237507588</c:v>
                </c:pt>
                <c:pt idx="184">
                  <c:v>8.3407257266363288</c:v>
                </c:pt>
                <c:pt idx="185">
                  <c:v>8.7622769364930413</c:v>
                </c:pt>
                <c:pt idx="186">
                  <c:v>8.4767555507511911</c:v>
                </c:pt>
                <c:pt idx="187">
                  <c:v>7.5677909555667604</c:v>
                </c:pt>
                <c:pt idx="188">
                  <c:v>6.6083465282341685</c:v>
                </c:pt>
                <c:pt idx="189">
                  <c:v>7.5752296348749093</c:v>
                </c:pt>
                <c:pt idx="190">
                  <c:v>8.3951585017492381</c:v>
                </c:pt>
                <c:pt idx="191">
                  <c:v>9.2588022543548245</c:v>
                </c:pt>
                <c:pt idx="192">
                  <c:v>9.4854347894343576</c:v>
                </c:pt>
                <c:pt idx="193">
                  <c:v>10.156045548463089</c:v>
                </c:pt>
                <c:pt idx="194">
                  <c:v>9.0884367844015284</c:v>
                </c:pt>
                <c:pt idx="195">
                  <c:v>9.0084510173805956</c:v>
                </c:pt>
                <c:pt idx="196">
                  <c:v>10.074457349629865</c:v>
                </c:pt>
                <c:pt idx="197">
                  <c:v>10.560041620256644</c:v>
                </c:pt>
                <c:pt idx="198">
                  <c:v>11.495523786077159</c:v>
                </c:pt>
                <c:pt idx="199">
                  <c:v>12.21952057303946</c:v>
                </c:pt>
                <c:pt idx="200">
                  <c:v>13.079821214532144</c:v>
                </c:pt>
                <c:pt idx="201">
                  <c:v>11.859559016809897</c:v>
                </c:pt>
                <c:pt idx="202">
                  <c:v>9.9843749522648793</c:v>
                </c:pt>
                <c:pt idx="203">
                  <c:v>9.1840965875653051</c:v>
                </c:pt>
                <c:pt idx="204">
                  <c:v>9.5560607392127288</c:v>
                </c:pt>
                <c:pt idx="205">
                  <c:v>8.9871896039436727</c:v>
                </c:pt>
                <c:pt idx="206">
                  <c:v>8.042822272627312</c:v>
                </c:pt>
                <c:pt idx="207">
                  <c:v>7.0684025250241111</c:v>
                </c:pt>
                <c:pt idx="208">
                  <c:v>6.7133869829969406</c:v>
                </c:pt>
                <c:pt idx="209">
                  <c:v>8.3849838441900477</c:v>
                </c:pt>
                <c:pt idx="210">
                  <c:v>9.510797678471226</c:v>
                </c:pt>
                <c:pt idx="211">
                  <c:v>10.116818163709592</c:v>
                </c:pt>
                <c:pt idx="212">
                  <c:v>9.4046076940955778</c:v>
                </c:pt>
                <c:pt idx="213">
                  <c:v>7.7016581549776939</c:v>
                </c:pt>
                <c:pt idx="214">
                  <c:v>7.4637681749510003</c:v>
                </c:pt>
                <c:pt idx="215">
                  <c:v>7.2813605660245715</c:v>
                </c:pt>
                <c:pt idx="216">
                  <c:v>5.4434112714874079</c:v>
                </c:pt>
                <c:pt idx="217">
                  <c:v>4.9930467732956059</c:v>
                </c:pt>
                <c:pt idx="218">
                  <c:v>3.5397807201857212</c:v>
                </c:pt>
                <c:pt idx="219">
                  <c:v>3.5950051149069435</c:v>
                </c:pt>
                <c:pt idx="220">
                  <c:v>3.9814833589809542</c:v>
                </c:pt>
                <c:pt idx="221">
                  <c:v>4.1487574557142244</c:v>
                </c:pt>
                <c:pt idx="222">
                  <c:v>4.0631952966801661</c:v>
                </c:pt>
                <c:pt idx="223">
                  <c:v>4.7330776294364405</c:v>
                </c:pt>
                <c:pt idx="224">
                  <c:v>5.6803335307651546</c:v>
                </c:pt>
                <c:pt idx="225">
                  <c:v>6.6379554533805827</c:v>
                </c:pt>
                <c:pt idx="226">
                  <c:v>6.5279465371698526</c:v>
                </c:pt>
                <c:pt idx="227">
                  <c:v>5.7752115744212311</c:v>
                </c:pt>
                <c:pt idx="228">
                  <c:v>3.0841745340000912</c:v>
                </c:pt>
                <c:pt idx="229">
                  <c:v>0.2921038279831662</c:v>
                </c:pt>
                <c:pt idx="230">
                  <c:v>-0.10303984777358174</c:v>
                </c:pt>
                <c:pt idx="231">
                  <c:v>0.13918919842723768</c:v>
                </c:pt>
                <c:pt idx="232">
                  <c:v>-0.61717906193396066</c:v>
                </c:pt>
                <c:pt idx="233">
                  <c:v>-1.1968640384915428</c:v>
                </c:pt>
                <c:pt idx="234">
                  <c:v>-1.2711869287835442</c:v>
                </c:pt>
                <c:pt idx="235">
                  <c:v>-1.215767679472624</c:v>
                </c:pt>
                <c:pt idx="236">
                  <c:v>-2.0409175232548189</c:v>
                </c:pt>
                <c:pt idx="237">
                  <c:v>-1.7260833006991969</c:v>
                </c:pt>
                <c:pt idx="238">
                  <c:v>-0.98877794696913257</c:v>
                </c:pt>
                <c:pt idx="239">
                  <c:v>-1.1311353298763658</c:v>
                </c:pt>
                <c:pt idx="240">
                  <c:v>-1.7657325696545256</c:v>
                </c:pt>
                <c:pt idx="241">
                  <c:v>-2.357349332534898</c:v>
                </c:pt>
                <c:pt idx="242">
                  <c:v>-2.1696801041864666</c:v>
                </c:pt>
                <c:pt idx="243">
                  <c:v>-2.8597696048215187</c:v>
                </c:pt>
                <c:pt idx="244">
                  <c:v>-5.4502175248502249</c:v>
                </c:pt>
                <c:pt idx="245">
                  <c:v>-7.1861737039786382</c:v>
                </c:pt>
                <c:pt idx="246">
                  <c:v>-7.2418439078157677</c:v>
                </c:pt>
                <c:pt idx="247">
                  <c:v>-7.4872055512145312</c:v>
                </c:pt>
                <c:pt idx="248">
                  <c:v>-7.0612161973793048</c:v>
                </c:pt>
                <c:pt idx="249">
                  <c:v>-5.9726217371824326</c:v>
                </c:pt>
                <c:pt idx="250">
                  <c:v>-5.4701375349875292</c:v>
                </c:pt>
                <c:pt idx="251">
                  <c:v>-2.9284229376145814</c:v>
                </c:pt>
                <c:pt idx="252">
                  <c:v>-0.42756285321535503</c:v>
                </c:pt>
                <c:pt idx="253">
                  <c:v>0.62782101803987889</c:v>
                </c:pt>
                <c:pt idx="254">
                  <c:v>1.8203744252825527</c:v>
                </c:pt>
                <c:pt idx="255">
                  <c:v>3.1982383055528074</c:v>
                </c:pt>
                <c:pt idx="256">
                  <c:v>4.0464123215203527</c:v>
                </c:pt>
                <c:pt idx="257">
                  <c:v>5.7115418473282249</c:v>
                </c:pt>
                <c:pt idx="258">
                  <c:v>6.7855312354780244</c:v>
                </c:pt>
                <c:pt idx="259">
                  <c:v>7.3843626316463284</c:v>
                </c:pt>
                <c:pt idx="260">
                  <c:v>7.315832887452947</c:v>
                </c:pt>
                <c:pt idx="261">
                  <c:v>5.8729991415015022</c:v>
                </c:pt>
                <c:pt idx="262">
                  <c:v>4.789874825209572</c:v>
                </c:pt>
                <c:pt idx="263">
                  <c:v>4.4871751612805513</c:v>
                </c:pt>
                <c:pt idx="264">
                  <c:v>4.4680657021908301</c:v>
                </c:pt>
                <c:pt idx="265">
                  <c:v>4.2599483089919934</c:v>
                </c:pt>
                <c:pt idx="266">
                  <c:v>5.0879138178251466</c:v>
                </c:pt>
                <c:pt idx="267">
                  <c:v>5.6918167272699716</c:v>
                </c:pt>
                <c:pt idx="268">
                  <c:v>5.4307190173203441</c:v>
                </c:pt>
                <c:pt idx="269">
                  <c:v>6.3843063322702163</c:v>
                </c:pt>
                <c:pt idx="270">
                  <c:v>6.0992418959705859</c:v>
                </c:pt>
                <c:pt idx="271">
                  <c:v>4.5023704839339542</c:v>
                </c:pt>
                <c:pt idx="272">
                  <c:v>4.1970324841176971</c:v>
                </c:pt>
                <c:pt idx="273">
                  <c:v>4.6683461501996044</c:v>
                </c:pt>
                <c:pt idx="274">
                  <c:v>5.8469202672206873</c:v>
                </c:pt>
                <c:pt idx="275">
                  <c:v>5.6470181970715592</c:v>
                </c:pt>
                <c:pt idx="276">
                  <c:v>6.1585055381239222</c:v>
                </c:pt>
                <c:pt idx="277">
                  <c:v>6.6701615565657661</c:v>
                </c:pt>
                <c:pt idx="278">
                  <c:v>7.5971324922231851</c:v>
                </c:pt>
                <c:pt idx="279">
                  <c:v>7.8647321015240372</c:v>
                </c:pt>
                <c:pt idx="280">
                  <c:v>9.4401970138318685</c:v>
                </c:pt>
                <c:pt idx="281">
                  <c:v>8.8917785367166289</c:v>
                </c:pt>
                <c:pt idx="282">
                  <c:v>8.9589619888725398</c:v>
                </c:pt>
                <c:pt idx="283">
                  <c:v>9.0097267853068868</c:v>
                </c:pt>
                <c:pt idx="284">
                  <c:v>9.1371940634768993</c:v>
                </c:pt>
                <c:pt idx="285">
                  <c:v>9.8585323463652124</c:v>
                </c:pt>
                <c:pt idx="286">
                  <c:v>11.030990586724634</c:v>
                </c:pt>
                <c:pt idx="287">
                  <c:v>10.482243645480469</c:v>
                </c:pt>
                <c:pt idx="288">
                  <c:v>10.223214569548738</c:v>
                </c:pt>
                <c:pt idx="289">
                  <c:v>9.8613155195763316</c:v>
                </c:pt>
                <c:pt idx="290">
                  <c:v>10.416430586703642</c:v>
                </c:pt>
                <c:pt idx="291">
                  <c:v>11.392897363059681</c:v>
                </c:pt>
                <c:pt idx="292">
                  <c:v>11.233488351452166</c:v>
                </c:pt>
                <c:pt idx="293">
                  <c:v>9.818356164360722</c:v>
                </c:pt>
                <c:pt idx="294">
                  <c:v>9.095485926840194</c:v>
                </c:pt>
                <c:pt idx="295">
                  <c:v>10.398043383294871</c:v>
                </c:pt>
                <c:pt idx="296">
                  <c:v>9.3093842763850017</c:v>
                </c:pt>
                <c:pt idx="297">
                  <c:v>9.0251978098442329</c:v>
                </c:pt>
                <c:pt idx="298">
                  <c:v>10.61164984526887</c:v>
                </c:pt>
                <c:pt idx="299">
                  <c:v>8.9701876568392542</c:v>
                </c:pt>
                <c:pt idx="300">
                  <c:v>7.8260435891939331</c:v>
                </c:pt>
                <c:pt idx="301">
                  <c:v>8.9926213676250679</c:v>
                </c:pt>
                <c:pt idx="302">
                  <c:v>10.612320568071892</c:v>
                </c:pt>
                <c:pt idx="303">
                  <c:v>10.764436157414245</c:v>
                </c:pt>
                <c:pt idx="304">
                  <c:v>10.080223466063176</c:v>
                </c:pt>
                <c:pt idx="305">
                  <c:v>10.36900495992562</c:v>
                </c:pt>
                <c:pt idx="306">
                  <c:v>8.8373237412494401</c:v>
                </c:pt>
                <c:pt idx="307">
                  <c:v>8.261429020960021</c:v>
                </c:pt>
                <c:pt idx="308">
                  <c:v>9.4573233697734977</c:v>
                </c:pt>
                <c:pt idx="309">
                  <c:v>9.2948097601988433</c:v>
                </c:pt>
                <c:pt idx="310">
                  <c:v>7.4315570847199366</c:v>
                </c:pt>
                <c:pt idx="311">
                  <c:v>7.0945435067958131</c:v>
                </c:pt>
                <c:pt idx="312">
                  <c:v>8.7541889138509248</c:v>
                </c:pt>
                <c:pt idx="313">
                  <c:v>8.7334615086355001</c:v>
                </c:pt>
                <c:pt idx="314">
                  <c:v>10.163673161072223</c:v>
                </c:pt>
                <c:pt idx="315">
                  <c:v>12.136659746084575</c:v>
                </c:pt>
                <c:pt idx="316">
                  <c:v>11.816816025746812</c:v>
                </c:pt>
                <c:pt idx="317">
                  <c:v>10.981758074212422</c:v>
                </c:pt>
                <c:pt idx="318">
                  <c:v>10.732432185993371</c:v>
                </c:pt>
                <c:pt idx="319">
                  <c:v>10.376965836956519</c:v>
                </c:pt>
                <c:pt idx="320">
                  <c:v>10.287194588210028</c:v>
                </c:pt>
                <c:pt idx="321">
                  <c:v>11.522648605951012</c:v>
                </c:pt>
                <c:pt idx="322">
                  <c:v>10.912688041514579</c:v>
                </c:pt>
                <c:pt idx="323">
                  <c:v>8.763243468422516</c:v>
                </c:pt>
                <c:pt idx="324">
                  <c:v>7.3663458621613618</c:v>
                </c:pt>
                <c:pt idx="325">
                  <c:v>7.0443203884628254</c:v>
                </c:pt>
                <c:pt idx="326">
                  <c:v>4.8711954220012688</c:v>
                </c:pt>
                <c:pt idx="327">
                  <c:v>3.8788359882043353</c:v>
                </c:pt>
                <c:pt idx="328">
                  <c:v>4.1314293364453745</c:v>
                </c:pt>
                <c:pt idx="329">
                  <c:v>4.1569863332039914</c:v>
                </c:pt>
                <c:pt idx="330">
                  <c:v>2.5813004489950298</c:v>
                </c:pt>
                <c:pt idx="331">
                  <c:v>7.8978603281578911E-3</c:v>
                </c:pt>
                <c:pt idx="332">
                  <c:v>-0.8347286989520456</c:v>
                </c:pt>
                <c:pt idx="333">
                  <c:v>-0.90309656373944769</c:v>
                </c:pt>
                <c:pt idx="334">
                  <c:v>0.64675667822101945</c:v>
                </c:pt>
                <c:pt idx="335">
                  <c:v>1.8664378285618874</c:v>
                </c:pt>
                <c:pt idx="336">
                  <c:v>2.9228879455993533</c:v>
                </c:pt>
                <c:pt idx="337">
                  <c:v>4.1374310405664438</c:v>
                </c:pt>
                <c:pt idx="338">
                  <c:v>2.8248090732838524</c:v>
                </c:pt>
                <c:pt idx="339">
                  <c:v>2.414829048374096</c:v>
                </c:pt>
                <c:pt idx="340">
                  <c:v>3.0390901953134275</c:v>
                </c:pt>
                <c:pt idx="341">
                  <c:v>3.1198586987833705</c:v>
                </c:pt>
                <c:pt idx="342">
                  <c:v>1.6457703634186103</c:v>
                </c:pt>
                <c:pt idx="343">
                  <c:v>0.2237114693074978</c:v>
                </c:pt>
                <c:pt idx="344">
                  <c:v>-2.9509965371625002</c:v>
                </c:pt>
                <c:pt idx="345">
                  <c:v>-4.3595829975677987</c:v>
                </c:pt>
                <c:pt idx="346">
                  <c:v>-4.513448570269043</c:v>
                </c:pt>
                <c:pt idx="347">
                  <c:v>-4.4584222147432797</c:v>
                </c:pt>
                <c:pt idx="348">
                  <c:v>-5.7995788821727752</c:v>
                </c:pt>
                <c:pt idx="349">
                  <c:v>-7.1083772936279646</c:v>
                </c:pt>
                <c:pt idx="350">
                  <c:v>-7.3567959160686014</c:v>
                </c:pt>
                <c:pt idx="351">
                  <c:v>-6.1570929700848369</c:v>
                </c:pt>
                <c:pt idx="352">
                  <c:v>-5.5962048902609052</c:v>
                </c:pt>
                <c:pt idx="353">
                  <c:v>-6.996039972135212</c:v>
                </c:pt>
                <c:pt idx="354">
                  <c:v>-7.5732905599907845</c:v>
                </c:pt>
                <c:pt idx="355">
                  <c:v>-8.0030148385678004</c:v>
                </c:pt>
                <c:pt idx="356">
                  <c:v>-8.3059975556590384</c:v>
                </c:pt>
                <c:pt idx="357">
                  <c:v>-9.1862081466793732</c:v>
                </c:pt>
                <c:pt idx="358">
                  <c:v>-8.7909138889894951</c:v>
                </c:pt>
                <c:pt idx="359">
                  <c:v>-10.585360379176528</c:v>
                </c:pt>
                <c:pt idx="360">
                  <c:v>-10.463795853861686</c:v>
                </c:pt>
                <c:pt idx="361">
                  <c:v>-9.4533446166999973</c:v>
                </c:pt>
                <c:pt idx="362">
                  <c:v>-9.7789636385099126</c:v>
                </c:pt>
                <c:pt idx="363">
                  <c:v>-10.528990847901733</c:v>
                </c:pt>
                <c:pt idx="364">
                  <c:v>-11.65824714799964</c:v>
                </c:pt>
                <c:pt idx="365">
                  <c:v>-11.567121578396568</c:v>
                </c:pt>
                <c:pt idx="366">
                  <c:v>-11.052519252089521</c:v>
                </c:pt>
                <c:pt idx="367">
                  <c:v>-10.737323530945552</c:v>
                </c:pt>
                <c:pt idx="368">
                  <c:v>-12.210609869613018</c:v>
                </c:pt>
                <c:pt idx="369">
                  <c:v>-13.812040956693814</c:v>
                </c:pt>
                <c:pt idx="370">
                  <c:v>-15.052765918403804</c:v>
                </c:pt>
                <c:pt idx="371">
                  <c:v>-14.591353036296681</c:v>
                </c:pt>
                <c:pt idx="372">
                  <c:v>-14.834664116510639</c:v>
                </c:pt>
                <c:pt idx="373">
                  <c:v>-15.266659200022451</c:v>
                </c:pt>
                <c:pt idx="374">
                  <c:v>-16.750899665599146</c:v>
                </c:pt>
                <c:pt idx="375">
                  <c:v>-19.415567484620077</c:v>
                </c:pt>
                <c:pt idx="376">
                  <c:v>-20.156163208750794</c:v>
                </c:pt>
                <c:pt idx="377">
                  <c:v>-19.293774816740203</c:v>
                </c:pt>
                <c:pt idx="378">
                  <c:v>-17.598726593949721</c:v>
                </c:pt>
                <c:pt idx="379">
                  <c:v>-16.607792902387143</c:v>
                </c:pt>
                <c:pt idx="380">
                  <c:v>-16.055390602040191</c:v>
                </c:pt>
                <c:pt idx="381">
                  <c:v>-16.293650901996713</c:v>
                </c:pt>
                <c:pt idx="382">
                  <c:v>-16.372994620253671</c:v>
                </c:pt>
                <c:pt idx="383">
                  <c:v>-15.907220804528054</c:v>
                </c:pt>
                <c:pt idx="384">
                  <c:v>-16.578393031359699</c:v>
                </c:pt>
                <c:pt idx="385">
                  <c:v>-16.10308303922303</c:v>
                </c:pt>
                <c:pt idx="386">
                  <c:v>-15.966255661807722</c:v>
                </c:pt>
                <c:pt idx="387">
                  <c:v>-15.542306221966564</c:v>
                </c:pt>
                <c:pt idx="388">
                  <c:v>-15.968390361923811</c:v>
                </c:pt>
                <c:pt idx="389">
                  <c:v>-17.638521312281494</c:v>
                </c:pt>
                <c:pt idx="390">
                  <c:v>-18.1157211225356</c:v>
                </c:pt>
                <c:pt idx="391">
                  <c:v>-18.244608589187166</c:v>
                </c:pt>
                <c:pt idx="392">
                  <c:v>-18.259334281472221</c:v>
                </c:pt>
                <c:pt idx="393">
                  <c:v>-17.34081796633442</c:v>
                </c:pt>
                <c:pt idx="394">
                  <c:v>-16.935299645847998</c:v>
                </c:pt>
                <c:pt idx="395">
                  <c:v>-17.163902297666443</c:v>
                </c:pt>
                <c:pt idx="396">
                  <c:v>-17.739627364766697</c:v>
                </c:pt>
                <c:pt idx="397">
                  <c:v>-17.725063481795949</c:v>
                </c:pt>
                <c:pt idx="398">
                  <c:v>-17.544768975454911</c:v>
                </c:pt>
                <c:pt idx="399">
                  <c:v>-16.21272594917728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2-4455-BD94-65E97D0E9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633799"/>
        <c:axId val="265637383"/>
      </c:lineChart>
      <c:catAx>
        <c:axId val="265633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37383"/>
        <c:crosses val="autoZero"/>
        <c:auto val="1"/>
        <c:lblAlgn val="ctr"/>
        <c:lblOffset val="100"/>
        <c:noMultiLvlLbl val="0"/>
      </c:catAx>
      <c:valAx>
        <c:axId val="26563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33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361950</xdr:rowOff>
    </xdr:from>
    <xdr:to>
      <xdr:col>18</xdr:col>
      <xdr:colOff>504825</xdr:colOff>
      <xdr:row>16</xdr:row>
      <xdr:rowOff>57150</xdr:rowOff>
    </xdr:to>
    <xdr:graphicFrame macro="">
      <xdr:nvGraphicFramePr>
        <xdr:cNvPr id="42" name="Chart 5">
          <a:extLst>
            <a:ext uri="{FF2B5EF4-FFF2-40B4-BE49-F238E27FC236}">
              <a16:creationId xmlns:a16="http://schemas.microsoft.com/office/drawing/2014/main" id="{86DAD0BB-E2DF-011E-3D29-2E2450B92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361950</xdr:rowOff>
    </xdr:from>
    <xdr:to>
      <xdr:col>18</xdr:col>
      <xdr:colOff>28575</xdr:colOff>
      <xdr:row>19</xdr:row>
      <xdr:rowOff>171450</xdr:rowOff>
    </xdr:to>
    <xdr:graphicFrame macro="">
      <xdr:nvGraphicFramePr>
        <xdr:cNvPr id="26" name="Chart 5">
          <a:extLst>
            <a:ext uri="{FF2B5EF4-FFF2-40B4-BE49-F238E27FC236}">
              <a16:creationId xmlns:a16="http://schemas.microsoft.com/office/drawing/2014/main" id="{CAEB9922-9740-4B88-8BAB-A29686641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199535</xdr:colOff>
      <xdr:row>0</xdr:row>
      <xdr:rowOff>176823</xdr:rowOff>
    </xdr:from>
    <xdr:to>
      <xdr:col>18</xdr:col>
      <xdr:colOff>195383</xdr:colOff>
      <xdr:row>15</xdr:row>
      <xdr:rowOff>167298</xdr:rowOff>
    </xdr:to>
    <xdr:graphicFrame macro="">
      <xdr:nvGraphicFramePr>
        <xdr:cNvPr id="84" name="Bagan 2">
          <a:extLst>
            <a:ext uri="{FF2B5EF4-FFF2-40B4-BE49-F238E27FC236}">
              <a16:creationId xmlns:a16="http://schemas.microsoft.com/office/drawing/2014/main" id="{884072BB-D97E-4FC4-9040-D2DE4E158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31003</xdr:colOff>
      <xdr:row>2</xdr:row>
      <xdr:rowOff>20730</xdr:rowOff>
    </xdr:from>
    <xdr:to>
      <xdr:col>17</xdr:col>
      <xdr:colOff>569633</xdr:colOff>
      <xdr:row>18</xdr:row>
      <xdr:rowOff>-1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1D3716A7-075F-40A9-8E3E-07306E0C8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  <v>8</v>
    <v>11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9366-6F2D-4E5C-B35C-29CA7B51AA30}">
  <dimension ref="A1:H401"/>
  <sheetViews>
    <sheetView zoomScale="81" workbookViewId="0">
      <selection activeCell="R21" sqref="R21"/>
    </sheetView>
  </sheetViews>
  <sheetFormatPr defaultRowHeight="14.45"/>
  <cols>
    <col min="2" max="2" width="10.5703125" customWidth="1"/>
    <col min="3" max="3" width="14.28515625" bestFit="1" customWidth="1"/>
    <col min="4" max="4" width="26.140625" customWidth="1"/>
    <col min="5" max="5" width="14.7109375" customWidth="1"/>
    <col min="7" max="7" width="11.5703125" customWidth="1"/>
    <col min="8" max="8" width="9.28515625" bestFit="1" customWidth="1"/>
  </cols>
  <sheetData>
    <row r="1" spans="1:8" ht="29.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8">
      <c r="A2" s="8">
        <v>1</v>
      </c>
      <c r="B2" s="6">
        <v>43831</v>
      </c>
      <c r="C2" s="7">
        <v>68.346715680000003</v>
      </c>
      <c r="D2" s="7"/>
      <c r="E2" s="7"/>
      <c r="F2" s="7"/>
      <c r="G2" s="35" t="s">
        <v>6</v>
      </c>
      <c r="H2" s="36"/>
    </row>
    <row r="3" spans="1:8">
      <c r="A3" s="8">
        <v>2</v>
      </c>
      <c r="B3" s="6">
        <v>43832</v>
      </c>
      <c r="C3" s="7">
        <v>69.648484909999993</v>
      </c>
      <c r="D3" s="7"/>
      <c r="E3" s="7"/>
      <c r="F3" s="7"/>
      <c r="G3" s="3">
        <f>AVERAGE(F4:F401)</f>
        <v>1.635047618079601</v>
      </c>
      <c r="H3" s="2" t="s">
        <v>7</v>
      </c>
    </row>
    <row r="4" spans="1:8">
      <c r="A4" s="8">
        <v>3</v>
      </c>
      <c r="B4" s="6">
        <v>43833</v>
      </c>
      <c r="C4" s="7">
        <v>69.340707750000007</v>
      </c>
      <c r="D4" s="7">
        <f>0.03559*C3+0.96*C2+0+0</f>
        <v>68.091636630746905</v>
      </c>
      <c r="E4" s="7">
        <f t="shared" ref="E4:E67" si="0">C4-D4</f>
        <v>1.2490711192531023</v>
      </c>
      <c r="F4" s="7">
        <f t="shared" ref="F4:F67" si="1">E4^2</f>
        <v>1.5601786609521977</v>
      </c>
      <c r="G4" s="3">
        <f>SQRT(G3)</f>
        <v>1.2786898052614641</v>
      </c>
      <c r="H4" s="2" t="s">
        <v>8</v>
      </c>
    </row>
    <row r="5" spans="1:8">
      <c r="A5" s="8">
        <v>4</v>
      </c>
      <c r="B5" s="6">
        <v>43834</v>
      </c>
      <c r="C5" s="7">
        <v>69.947982330000002</v>
      </c>
      <c r="D5" s="7">
        <f>0.03559*C4+0.96*C3+0+0.99*E4</f>
        <v>70.566961710483071</v>
      </c>
      <c r="E5" s="7">
        <f t="shared" si="0"/>
        <v>-0.61897938048306855</v>
      </c>
      <c r="F5" s="7">
        <f t="shared" si="1"/>
        <v>0.38313547346320337</v>
      </c>
    </row>
    <row r="6" spans="1:8">
      <c r="A6" s="8">
        <v>5</v>
      </c>
      <c r="B6" s="6">
        <v>43835</v>
      </c>
      <c r="C6" s="7">
        <v>68.760614149999995</v>
      </c>
      <c r="D6" s="7">
        <f t="shared" ref="D6:D68" si="2">0.03559*C5+0.96*C4+0+0.99*E5</f>
        <v>68.443738544446475</v>
      </c>
      <c r="E6" s="7">
        <f t="shared" si="0"/>
        <v>0.31687560555351979</v>
      </c>
      <c r="F6" s="7">
        <f t="shared" si="1"/>
        <v>0.10041014939490986</v>
      </c>
    </row>
    <row r="7" spans="1:8">
      <c r="A7" s="8">
        <v>6</v>
      </c>
      <c r="B7" s="6">
        <v>43836</v>
      </c>
      <c r="C7" s="7">
        <v>68.681916150000006</v>
      </c>
      <c r="D7" s="7">
        <f t="shared" si="2"/>
        <v>69.910960143896489</v>
      </c>
      <c r="E7" s="7">
        <f t="shared" si="0"/>
        <v>-1.2290439938964823</v>
      </c>
      <c r="F7" s="7">
        <f t="shared" si="1"/>
        <v>1.5105491389330166</v>
      </c>
    </row>
    <row r="8" spans="1:8">
      <c r="A8" s="8">
        <v>7</v>
      </c>
      <c r="B8" s="6">
        <v>43837</v>
      </c>
      <c r="C8" s="7">
        <v>69.470476039999994</v>
      </c>
      <c r="D8" s="7">
        <f t="shared" si="2"/>
        <v>67.237825425820972</v>
      </c>
      <c r="E8" s="7">
        <f t="shared" si="0"/>
        <v>2.2326506141790219</v>
      </c>
      <c r="F8" s="7">
        <f t="shared" si="1"/>
        <v>4.9847287649939638</v>
      </c>
    </row>
    <row r="9" spans="1:8">
      <c r="A9" s="8">
        <v>8</v>
      </c>
      <c r="B9" s="6">
        <v>43838</v>
      </c>
      <c r="C9" s="7">
        <v>68.417010970000007</v>
      </c>
      <c r="D9" s="7">
        <f t="shared" si="2"/>
        <v>70.617417854300825</v>
      </c>
      <c r="E9" s="7">
        <f t="shared" si="0"/>
        <v>-2.2004068843008184</v>
      </c>
      <c r="F9" s="7">
        <f t="shared" si="1"/>
        <v>4.8417904564784351</v>
      </c>
    </row>
    <row r="10" spans="1:8">
      <c r="A10" s="8">
        <v>9</v>
      </c>
      <c r="B10" s="6">
        <v>43839</v>
      </c>
      <c r="C10" s="7">
        <v>69.324211640000001</v>
      </c>
      <c r="D10" s="7">
        <f t="shared" si="2"/>
        <v>66.948215603364474</v>
      </c>
      <c r="E10" s="7">
        <f t="shared" si="0"/>
        <v>2.3759960366355273</v>
      </c>
      <c r="F10" s="7">
        <f t="shared" si="1"/>
        <v>5.6453571661077335</v>
      </c>
    </row>
    <row r="11" spans="1:8">
      <c r="A11" s="8">
        <v>10</v>
      </c>
      <c r="B11" s="6">
        <v>43840</v>
      </c>
      <c r="C11" s="7">
        <v>69.690276130000001</v>
      </c>
      <c r="D11" s="7">
        <f t="shared" si="2"/>
        <v>70.499815299736781</v>
      </c>
      <c r="E11" s="7">
        <f t="shared" si="0"/>
        <v>-0.8095391697367802</v>
      </c>
      <c r="F11" s="7">
        <f t="shared" si="1"/>
        <v>0.6553536673381154</v>
      </c>
    </row>
    <row r="12" spans="1:8">
      <c r="A12" s="8">
        <v>11</v>
      </c>
      <c r="B12" s="6">
        <v>43841</v>
      </c>
      <c r="C12" s="7">
        <v>68.274545989999993</v>
      </c>
      <c r="D12" s="7">
        <f t="shared" si="2"/>
        <v>68.230076323827291</v>
      </c>
      <c r="E12" s="7">
        <f t="shared" si="0"/>
        <v>4.4469666172702205E-2</v>
      </c>
      <c r="F12" s="7">
        <f t="shared" si="1"/>
        <v>1.9775512095115749E-3</v>
      </c>
    </row>
    <row r="13" spans="1:8">
      <c r="A13" s="8">
        <v>12</v>
      </c>
      <c r="B13" s="6">
        <v>43842</v>
      </c>
      <c r="C13" s="7">
        <v>67.754401999999999</v>
      </c>
      <c r="D13" s="7">
        <f t="shared" si="2"/>
        <v>69.376581146095063</v>
      </c>
      <c r="E13" s="7">
        <f t="shared" si="0"/>
        <v>-1.6221791460950641</v>
      </c>
      <c r="F13" s="7">
        <f t="shared" si="1"/>
        <v>2.6314651820257113</v>
      </c>
    </row>
    <row r="14" spans="1:8">
      <c r="A14" s="8">
        <v>13</v>
      </c>
      <c r="B14" s="6">
        <v>43843</v>
      </c>
      <c r="C14" s="7">
        <v>69.775397490000003</v>
      </c>
      <c r="D14" s="7">
        <f t="shared" si="2"/>
        <v>66.348985962945875</v>
      </c>
      <c r="E14" s="7">
        <f t="shared" si="0"/>
        <v>3.4264115270541282</v>
      </c>
      <c r="F14" s="7">
        <f t="shared" si="1"/>
        <v>11.740295952729403</v>
      </c>
    </row>
    <row r="15" spans="1:8">
      <c r="A15" s="8">
        <v>14</v>
      </c>
      <c r="B15" s="6">
        <v>43844</v>
      </c>
      <c r="C15" s="7">
        <v>71.434473879999999</v>
      </c>
      <c r="D15" s="7">
        <f t="shared" si="2"/>
        <v>70.919679728452678</v>
      </c>
      <c r="E15" s="7">
        <f t="shared" si="0"/>
        <v>0.51479415154732067</v>
      </c>
      <c r="F15" s="7">
        <f t="shared" si="1"/>
        <v>0.26501301846732578</v>
      </c>
    </row>
    <row r="16" spans="1:8">
      <c r="A16" s="8">
        <v>15</v>
      </c>
      <c r="B16" s="6">
        <v>43845</v>
      </c>
      <c r="C16" s="7">
        <v>70.796156440000004</v>
      </c>
      <c r="D16" s="7">
        <f t="shared" si="2"/>
        <v>70.036380725821047</v>
      </c>
      <c r="E16" s="7">
        <f t="shared" si="0"/>
        <v>0.75977571417895717</v>
      </c>
      <c r="F16" s="7">
        <f t="shared" si="1"/>
        <v>0.57725913585614441</v>
      </c>
    </row>
    <row r="17" spans="1:6">
      <c r="A17" s="8">
        <v>16</v>
      </c>
      <c r="B17" s="6">
        <v>43846</v>
      </c>
      <c r="C17" s="7">
        <v>70.452113510000004</v>
      </c>
      <c r="D17" s="7">
        <f t="shared" si="2"/>
        <v>71.848908089536749</v>
      </c>
      <c r="E17" s="7">
        <f t="shared" si="0"/>
        <v>-1.3967945795367456</v>
      </c>
      <c r="F17" s="7">
        <f t="shared" si="1"/>
        <v>1.9510350974232338</v>
      </c>
    </row>
    <row r="18" spans="1:6">
      <c r="A18" s="8">
        <v>17</v>
      </c>
      <c r="B18" s="6">
        <v>43847</v>
      </c>
      <c r="C18" s="7">
        <v>70.256264740000006</v>
      </c>
      <c r="D18" s="7">
        <f t="shared" si="2"/>
        <v>69.088874268479529</v>
      </c>
      <c r="E18" s="7">
        <f t="shared" si="0"/>
        <v>1.167390471520477</v>
      </c>
      <c r="F18" s="7">
        <f t="shared" si="1"/>
        <v>1.3628005129968017</v>
      </c>
    </row>
    <row r="19" spans="1:6">
      <c r="A19" s="8">
        <v>18</v>
      </c>
      <c r="B19" s="6">
        <v>43848</v>
      </c>
      <c r="C19" s="7">
        <v>70.347747769999998</v>
      </c>
      <c r="D19" s="7">
        <f t="shared" si="2"/>
        <v>71.290165998501863</v>
      </c>
      <c r="E19" s="7">
        <f t="shared" si="0"/>
        <v>-0.94241822850186452</v>
      </c>
      <c r="F19" s="7">
        <f t="shared" si="1"/>
        <v>0.88815211741259248</v>
      </c>
    </row>
    <row r="20" spans="1:6">
      <c r="A20" s="8">
        <v>19</v>
      </c>
      <c r="B20" s="6">
        <v>43849</v>
      </c>
      <c r="C20" s="7">
        <v>71.417753250000004</v>
      </c>
      <c r="D20" s="7">
        <f t="shared" si="2"/>
        <v>69.016696447317457</v>
      </c>
      <c r="E20" s="7">
        <f t="shared" si="0"/>
        <v>2.4010568026825467</v>
      </c>
      <c r="F20" s="7">
        <f t="shared" si="1"/>
        <v>5.7650737697081338</v>
      </c>
    </row>
    <row r="21" spans="1:6">
      <c r="A21" s="8">
        <v>20</v>
      </c>
      <c r="B21" s="6">
        <v>43850</v>
      </c>
      <c r="C21" s="7">
        <v>69.239329220000002</v>
      </c>
      <c r="D21" s="7">
        <f t="shared" si="2"/>
        <v>72.452641932023212</v>
      </c>
      <c r="E21" s="7">
        <f t="shared" si="0"/>
        <v>-3.2133127120232103</v>
      </c>
      <c r="F21" s="7">
        <f t="shared" si="1"/>
        <v>10.325378585249959</v>
      </c>
    </row>
    <row r="22" spans="1:6">
      <c r="A22" s="8">
        <v>21</v>
      </c>
      <c r="B22" s="6">
        <v>43851</v>
      </c>
      <c r="C22" s="7">
        <v>69.794732289999999</v>
      </c>
      <c r="D22" s="7">
        <f t="shared" si="2"/>
        <v>67.844091262036827</v>
      </c>
      <c r="E22" s="7">
        <f t="shared" si="0"/>
        <v>1.9506410279631723</v>
      </c>
      <c r="F22" s="7">
        <f t="shared" si="1"/>
        <v>3.8050004199732217</v>
      </c>
    </row>
    <row r="23" spans="1:6">
      <c r="A23" s="8">
        <v>22</v>
      </c>
      <c r="B23" s="6">
        <v>43852</v>
      </c>
      <c r="C23" s="7">
        <v>69.723031649999996</v>
      </c>
      <c r="D23" s="7">
        <f t="shared" si="2"/>
        <v>70.884885191084635</v>
      </c>
      <c r="E23" s="7">
        <f t="shared" si="0"/>
        <v>-1.1618535410846391</v>
      </c>
      <c r="F23" s="7">
        <f t="shared" si="1"/>
        <v>1.3499036509309152</v>
      </c>
    </row>
    <row r="24" spans="1:6">
      <c r="A24" s="8">
        <v>23</v>
      </c>
      <c r="B24" s="6">
        <v>43853</v>
      </c>
      <c r="C24" s="7">
        <v>69.671140370000003</v>
      </c>
      <c r="D24" s="7">
        <f t="shared" si="2"/>
        <v>68.334150689149709</v>
      </c>
      <c r="E24" s="7">
        <f t="shared" si="0"/>
        <v>1.3369896808502943</v>
      </c>
      <c r="F24" s="7">
        <f t="shared" si="1"/>
        <v>1.787541406700172</v>
      </c>
    </row>
    <row r="25" spans="1:6">
      <c r="A25" s="8">
        <v>24</v>
      </c>
      <c r="B25" s="6">
        <v>43854</v>
      </c>
      <c r="C25" s="7">
        <v>69.583524999999995</v>
      </c>
      <c r="D25" s="7">
        <f t="shared" si="2"/>
        <v>70.737326053810094</v>
      </c>
      <c r="E25" s="7">
        <f t="shared" si="0"/>
        <v>-1.1538010538100991</v>
      </c>
      <c r="F25" s="7">
        <f t="shared" si="1"/>
        <v>1.3312568717732953</v>
      </c>
    </row>
    <row r="26" spans="1:6">
      <c r="A26" s="8">
        <v>25</v>
      </c>
      <c r="B26" s="6">
        <v>43855</v>
      </c>
      <c r="C26" s="7">
        <v>69.473625769999998</v>
      </c>
      <c r="D26" s="7">
        <f t="shared" si="2"/>
        <v>68.218509366678006</v>
      </c>
      <c r="E26" s="7">
        <f t="shared" si="0"/>
        <v>1.2551164033219919</v>
      </c>
      <c r="F26" s="7">
        <f t="shared" si="1"/>
        <v>1.5753171858879331</v>
      </c>
    </row>
    <row r="27" spans="1:6">
      <c r="A27" s="8">
        <v>26</v>
      </c>
      <c r="B27" s="6">
        <v>43856</v>
      </c>
      <c r="C27" s="7">
        <v>68.582921769999999</v>
      </c>
      <c r="D27" s="7">
        <f t="shared" si="2"/>
        <v>70.515315580443058</v>
      </c>
      <c r="E27" s="7">
        <f t="shared" si="0"/>
        <v>-1.9323938104430596</v>
      </c>
      <c r="F27" s="7">
        <f t="shared" si="1"/>
        <v>3.7341458386386472</v>
      </c>
    </row>
    <row r="28" spans="1:6">
      <c r="A28" s="8">
        <v>27</v>
      </c>
      <c r="B28" s="6">
        <v>43857</v>
      </c>
      <c r="C28" s="7">
        <v>69.491004529999998</v>
      </c>
      <c r="D28" s="7">
        <f t="shared" si="2"/>
        <v>67.222477052655677</v>
      </c>
      <c r="E28" s="7">
        <f t="shared" si="0"/>
        <v>2.2685274773443211</v>
      </c>
      <c r="F28" s="7">
        <f t="shared" si="1"/>
        <v>5.1462169154661899</v>
      </c>
    </row>
    <row r="29" spans="1:6">
      <c r="A29" s="8">
        <v>28</v>
      </c>
      <c r="B29" s="6">
        <v>43858</v>
      </c>
      <c r="C29" s="7">
        <v>71.790669219999998</v>
      </c>
      <c r="D29" s="7">
        <f t="shared" si="2"/>
        <v>70.558631952993579</v>
      </c>
      <c r="E29" s="7">
        <f t="shared" si="0"/>
        <v>1.2320372670064188</v>
      </c>
      <c r="F29" s="7">
        <f t="shared" si="1"/>
        <v>1.5179158272926456</v>
      </c>
    </row>
    <row r="30" spans="1:6">
      <c r="A30" s="8">
        <v>29</v>
      </c>
      <c r="B30" s="6">
        <v>43859</v>
      </c>
      <c r="C30" s="7">
        <v>71.170967149999996</v>
      </c>
      <c r="D30" s="7">
        <f t="shared" si="2"/>
        <v>70.486111160676145</v>
      </c>
      <c r="E30" s="7">
        <f t="shared" si="0"/>
        <v>0.68485598932385017</v>
      </c>
      <c r="F30" s="7">
        <f t="shared" si="1"/>
        <v>0.46902772611274957</v>
      </c>
    </row>
    <row r="31" spans="1:6">
      <c r="A31" s="8">
        <v>30</v>
      </c>
      <c r="B31" s="6">
        <v>43860</v>
      </c>
      <c r="C31" s="7">
        <v>70.163994479999999</v>
      </c>
      <c r="D31" s="7">
        <f t="shared" si="2"/>
        <v>72.130024601499102</v>
      </c>
      <c r="E31" s="7">
        <f t="shared" si="0"/>
        <v>-1.9660301214991023</v>
      </c>
      <c r="F31" s="7">
        <f t="shared" si="1"/>
        <v>3.8652744386417748</v>
      </c>
    </row>
    <row r="32" spans="1:6">
      <c r="A32" s="8">
        <v>31</v>
      </c>
      <c r="B32" s="6">
        <v>43861</v>
      </c>
      <c r="C32" s="7">
        <v>69.059807509999999</v>
      </c>
      <c r="D32" s="7">
        <f t="shared" si="2"/>
        <v>68.874895207259087</v>
      </c>
      <c r="E32" s="7">
        <f t="shared" si="0"/>
        <v>0.18491230274091208</v>
      </c>
      <c r="F32" s="7">
        <f t="shared" si="1"/>
        <v>3.4192559704946723E-2</v>
      </c>
    </row>
    <row r="33" spans="1:6">
      <c r="A33" s="8">
        <v>32</v>
      </c>
      <c r="B33" s="6">
        <v>43862</v>
      </c>
      <c r="C33" s="7">
        <v>69.269211609999999</v>
      </c>
      <c r="D33" s="7">
        <f t="shared" si="2"/>
        <v>69.998336429794392</v>
      </c>
      <c r="E33" s="7">
        <f t="shared" si="0"/>
        <v>-0.72912481979439292</v>
      </c>
      <c r="F33" s="7">
        <f t="shared" si="1"/>
        <v>0.53162300284020592</v>
      </c>
    </row>
    <row r="34" spans="1:6">
      <c r="A34" s="8">
        <v>33</v>
      </c>
      <c r="B34" s="6">
        <v>43863</v>
      </c>
      <c r="C34" s="7">
        <v>70.309751140000003</v>
      </c>
      <c r="D34" s="7">
        <f t="shared" si="2"/>
        <v>68.040872879203448</v>
      </c>
      <c r="E34" s="7">
        <f t="shared" si="0"/>
        <v>2.268878260796555</v>
      </c>
      <c r="F34" s="7">
        <f t="shared" si="1"/>
        <v>5.1478085623152001</v>
      </c>
    </row>
    <row r="35" spans="1:6">
      <c r="A35" s="8">
        <v>34</v>
      </c>
      <c r="B35" s="6">
        <v>43864</v>
      </c>
      <c r="C35" s="7">
        <v>70.034844759999999</v>
      </c>
      <c r="D35" s="7">
        <f t="shared" si="2"/>
        <v>71.24695666686118</v>
      </c>
      <c r="E35" s="7">
        <f t="shared" si="0"/>
        <v>-1.2121119068611819</v>
      </c>
      <c r="F35" s="7">
        <f t="shared" si="1"/>
        <v>1.4692152747546505</v>
      </c>
    </row>
    <row r="36" spans="1:6">
      <c r="A36" s="8">
        <v>35</v>
      </c>
      <c r="B36" s="6">
        <v>43865</v>
      </c>
      <c r="C36" s="7">
        <v>69.474177470000001</v>
      </c>
      <c r="D36" s="7">
        <f t="shared" si="2"/>
        <v>68.789910431615837</v>
      </c>
      <c r="E36" s="7">
        <f t="shared" si="0"/>
        <v>0.68426703838416358</v>
      </c>
      <c r="F36" s="7">
        <f t="shared" si="1"/>
        <v>0.46822137981903439</v>
      </c>
    </row>
    <row r="37" spans="1:6">
      <c r="A37" s="8">
        <v>36</v>
      </c>
      <c r="B37" s="6">
        <v>43866</v>
      </c>
      <c r="C37" s="7">
        <v>70.077317600000001</v>
      </c>
      <c r="D37" s="7">
        <f t="shared" si="2"/>
        <v>70.383461313757621</v>
      </c>
      <c r="E37" s="7">
        <f t="shared" si="0"/>
        <v>-0.30614371375762062</v>
      </c>
      <c r="F37" s="7">
        <f t="shared" si="1"/>
        <v>9.372397347330795E-2</v>
      </c>
    </row>
    <row r="38" spans="1:6">
      <c r="A38" s="8">
        <v>37</v>
      </c>
      <c r="B38" s="6">
        <v>43867</v>
      </c>
      <c r="C38" s="7">
        <v>69.286132550000005</v>
      </c>
      <c r="D38" s="7">
        <f t="shared" si="2"/>
        <v>68.886179827963957</v>
      </c>
      <c r="E38" s="7">
        <f t="shared" si="0"/>
        <v>0.3999527220360477</v>
      </c>
      <c r="F38" s="7">
        <f t="shared" si="1"/>
        <v>0.15996217986404404</v>
      </c>
    </row>
    <row r="39" spans="1:6">
      <c r="A39" s="8">
        <v>38</v>
      </c>
      <c r="B39" s="6">
        <v>43868</v>
      </c>
      <c r="C39" s="7">
        <v>69.800980879999997</v>
      </c>
      <c r="D39" s="7">
        <f t="shared" si="2"/>
        <v>70.136071548270181</v>
      </c>
      <c r="E39" s="7">
        <f t="shared" si="0"/>
        <v>-0.3350906682701833</v>
      </c>
      <c r="F39" s="7">
        <f t="shared" si="1"/>
        <v>0.11228575596175804</v>
      </c>
    </row>
    <row r="40" spans="1:6">
      <c r="A40" s="8">
        <v>39</v>
      </c>
      <c r="B40" s="6">
        <v>43869</v>
      </c>
      <c r="C40" s="7">
        <v>70.915070560000004</v>
      </c>
      <c r="D40" s="7">
        <f t="shared" si="2"/>
        <v>68.667164395931721</v>
      </c>
      <c r="E40" s="7">
        <f t="shared" si="0"/>
        <v>2.2479061640682829</v>
      </c>
      <c r="F40" s="7">
        <f t="shared" si="1"/>
        <v>5.0530821224561819</v>
      </c>
    </row>
    <row r="41" spans="1:6">
      <c r="A41" s="8">
        <v>40</v>
      </c>
      <c r="B41" s="6">
        <v>43870</v>
      </c>
      <c r="C41" s="7">
        <v>71.968696609999995</v>
      </c>
      <c r="D41" s="7">
        <f t="shared" si="2"/>
        <v>71.758236108457993</v>
      </c>
      <c r="E41" s="7">
        <f t="shared" si="0"/>
        <v>0.21046050154200202</v>
      </c>
      <c r="F41" s="7">
        <f t="shared" si="1"/>
        <v>4.4293622709311038E-2</v>
      </c>
    </row>
    <row r="42" spans="1:6">
      <c r="A42" s="8">
        <v>41</v>
      </c>
      <c r="B42" s="6">
        <v>43871</v>
      </c>
      <c r="C42" s="7">
        <v>70.816314790000007</v>
      </c>
      <c r="D42" s="7">
        <f t="shared" si="2"/>
        <v>70.84818954647649</v>
      </c>
      <c r="E42" s="7">
        <f t="shared" si="0"/>
        <v>-3.1874756476483412E-2</v>
      </c>
      <c r="F42" s="7">
        <f t="shared" si="1"/>
        <v>1.0160001004351211E-3</v>
      </c>
    </row>
    <row r="43" spans="1:6">
      <c r="A43" s="8">
        <v>42</v>
      </c>
      <c r="B43" s="6">
        <v>43872</v>
      </c>
      <c r="C43" s="7">
        <v>71.266777129999994</v>
      </c>
      <c r="D43" s="7">
        <f t="shared" si="2"/>
        <v>71.578745380064376</v>
      </c>
      <c r="E43" s="7">
        <f t="shared" si="0"/>
        <v>-0.31196825006438189</v>
      </c>
      <c r="F43" s="7">
        <f t="shared" si="1"/>
        <v>9.7324189048232715E-2</v>
      </c>
    </row>
    <row r="44" spans="1:6">
      <c r="A44" s="8">
        <v>43</v>
      </c>
      <c r="B44" s="6">
        <v>43873</v>
      </c>
      <c r="C44" s="7">
        <v>71.54958173</v>
      </c>
      <c r="D44" s="7">
        <f t="shared" si="2"/>
        <v>70.211198228892954</v>
      </c>
      <c r="E44" s="7">
        <f t="shared" si="0"/>
        <v>1.338383501107046</v>
      </c>
      <c r="F44" s="7">
        <f t="shared" si="1"/>
        <v>1.791270396035554</v>
      </c>
    </row>
    <row r="45" spans="1:6">
      <c r="A45" s="8">
        <v>44</v>
      </c>
      <c r="B45" s="6">
        <v>43874</v>
      </c>
      <c r="C45" s="7">
        <v>69.553503259999999</v>
      </c>
      <c r="D45" s="7">
        <f t="shared" si="2"/>
        <v>72.28755532466667</v>
      </c>
      <c r="E45" s="7">
        <f t="shared" si="0"/>
        <v>-2.7340520646666704</v>
      </c>
      <c r="F45" s="7">
        <f t="shared" si="1"/>
        <v>7.4750406923080828</v>
      </c>
    </row>
    <row r="46" spans="1:6">
      <c r="A46" s="8">
        <v>45</v>
      </c>
      <c r="B46" s="6">
        <v>43875</v>
      </c>
      <c r="C46" s="7">
        <v>68.049288919999995</v>
      </c>
      <c r="D46" s="7">
        <f t="shared" si="2"/>
        <v>68.456296097803389</v>
      </c>
      <c r="E46" s="7">
        <f t="shared" si="0"/>
        <v>-0.40700717780339346</v>
      </c>
      <c r="F46" s="7">
        <f t="shared" si="1"/>
        <v>0.16565484278348314</v>
      </c>
    </row>
    <row r="47" spans="1:6">
      <c r="A47" s="8">
        <v>46</v>
      </c>
      <c r="B47" s="6">
        <v>43876</v>
      </c>
      <c r="C47" s="7">
        <v>68.658558740000004</v>
      </c>
      <c r="D47" s="7">
        <f t="shared" si="2"/>
        <v>68.790300216237426</v>
      </c>
      <c r="E47" s="7">
        <f t="shared" si="0"/>
        <v>-0.13174147623742272</v>
      </c>
      <c r="F47" s="7">
        <f t="shared" si="1"/>
        <v>1.7355816561215414E-2</v>
      </c>
    </row>
    <row r="48" spans="1:6">
      <c r="A48" s="8">
        <v>47</v>
      </c>
      <c r="B48" s="6">
        <v>43877</v>
      </c>
      <c r="C48" s="7">
        <v>70.809284059999996</v>
      </c>
      <c r="D48" s="7">
        <f t="shared" si="2"/>
        <v>67.640451407281546</v>
      </c>
      <c r="E48" s="7">
        <f t="shared" si="0"/>
        <v>3.16883265271845</v>
      </c>
      <c r="F48" s="7">
        <f t="shared" si="1"/>
        <v>10.041500380934648</v>
      </c>
    </row>
    <row r="49" spans="1:6">
      <c r="A49" s="8">
        <v>48</v>
      </c>
      <c r="B49" s="6">
        <v>43878</v>
      </c>
      <c r="C49" s="7">
        <v>70.81571581</v>
      </c>
      <c r="D49" s="7">
        <f t="shared" si="2"/>
        <v>71.569463136286672</v>
      </c>
      <c r="E49" s="7">
        <f t="shared" si="0"/>
        <v>-0.75374732628667118</v>
      </c>
      <c r="F49" s="7">
        <f t="shared" si="1"/>
        <v>0.56813503188430559</v>
      </c>
    </row>
    <row r="50" spans="1:6">
      <c r="A50" s="8">
        <v>49</v>
      </c>
      <c r="B50" s="6">
        <v>43879</v>
      </c>
      <c r="C50" s="7">
        <v>69.645986710000003</v>
      </c>
      <c r="D50" s="7">
        <f t="shared" si="2"/>
        <v>69.751034170254101</v>
      </c>
      <c r="E50" s="7">
        <f t="shared" si="0"/>
        <v>-0.10504746025409872</v>
      </c>
      <c r="F50" s="7">
        <f t="shared" si="1"/>
        <v>1.1034968905836452E-2</v>
      </c>
    </row>
    <row r="51" spans="1:6">
      <c r="A51" s="8">
        <v>50</v>
      </c>
      <c r="B51" s="6">
        <v>43880</v>
      </c>
      <c r="C51" s="7">
        <v>71.095120460000004</v>
      </c>
      <c r="D51" s="7">
        <f t="shared" si="2"/>
        <v>70.35779085895733</v>
      </c>
      <c r="E51" s="7">
        <f t="shared" si="0"/>
        <v>0.7373296010426742</v>
      </c>
      <c r="F51" s="7">
        <f t="shared" si="1"/>
        <v>0.54365494057374908</v>
      </c>
    </row>
    <row r="52" spans="1:6">
      <c r="A52" s="8">
        <v>51</v>
      </c>
      <c r="B52" s="6">
        <v>43881</v>
      </c>
      <c r="C52" s="7">
        <v>71.050180749999996</v>
      </c>
      <c r="D52" s="7">
        <f t="shared" si="2"/>
        <v>70.120378883803653</v>
      </c>
      <c r="E52" s="7">
        <f t="shared" si="0"/>
        <v>0.92980186619634253</v>
      </c>
      <c r="F52" s="7">
        <f t="shared" si="1"/>
        <v>0.86453151038220122</v>
      </c>
    </row>
    <row r="53" spans="1:6">
      <c r="A53" s="8">
        <v>52</v>
      </c>
      <c r="B53" s="6">
        <v>43882</v>
      </c>
      <c r="C53" s="7">
        <v>67.980978039999997</v>
      </c>
      <c r="D53" s="7">
        <f t="shared" si="2"/>
        <v>71.700495422026876</v>
      </c>
      <c r="E53" s="7">
        <f t="shared" si="0"/>
        <v>-3.7195173820268792</v>
      </c>
      <c r="F53" s="7">
        <f t="shared" si="1"/>
        <v>13.834809555200088</v>
      </c>
    </row>
    <row r="54" spans="1:6">
      <c r="A54" s="8">
        <v>53</v>
      </c>
      <c r="B54" s="6">
        <v>43883</v>
      </c>
      <c r="C54" s="7">
        <v>68.790693219999994</v>
      </c>
      <c r="D54" s="7">
        <f t="shared" si="2"/>
        <v>66.945294320236968</v>
      </c>
      <c r="E54" s="7">
        <f t="shared" si="0"/>
        <v>1.8453988997630262</v>
      </c>
      <c r="F54" s="7">
        <f t="shared" si="1"/>
        <v>3.4054970992465874</v>
      </c>
    </row>
    <row r="55" spans="1:6">
      <c r="A55" s="8">
        <v>54</v>
      </c>
      <c r="B55" s="6">
        <v>43884</v>
      </c>
      <c r="C55" s="7">
        <v>70.400163140000004</v>
      </c>
      <c r="D55" s="7">
        <f t="shared" si="2"/>
        <v>69.536944600865183</v>
      </c>
      <c r="E55" s="7">
        <f t="shared" si="0"/>
        <v>0.86321853913482016</v>
      </c>
      <c r="F55" s="7">
        <f t="shared" si="1"/>
        <v>0.74514624630605308</v>
      </c>
    </row>
    <row r="56" spans="1:6">
      <c r="A56" s="8">
        <v>55</v>
      </c>
      <c r="B56" s="6">
        <v>43885</v>
      </c>
      <c r="C56" s="7">
        <v>70.828498569999994</v>
      </c>
      <c r="D56" s="7">
        <f t="shared" si="2"/>
        <v>69.39919365109607</v>
      </c>
      <c r="E56" s="7">
        <f t="shared" si="0"/>
        <v>1.4293049189039237</v>
      </c>
      <c r="F56" s="7">
        <f t="shared" si="1"/>
        <v>2.042912551202952</v>
      </c>
    </row>
    <row r="57" spans="1:6">
      <c r="A57" s="8">
        <v>56</v>
      </c>
      <c r="B57" s="6">
        <v>43886</v>
      </c>
      <c r="C57" s="7">
        <v>70.826762299999999</v>
      </c>
      <c r="D57" s="7">
        <f t="shared" si="2"/>
        <v>71.519954748221195</v>
      </c>
      <c r="E57" s="7">
        <f t="shared" si="0"/>
        <v>-0.69319244822119686</v>
      </c>
      <c r="F57" s="7">
        <f t="shared" si="1"/>
        <v>0.4805157702708967</v>
      </c>
    </row>
    <row r="58" spans="1:6">
      <c r="A58" s="8">
        <v>57</v>
      </c>
      <c r="B58" s="6">
        <v>43887</v>
      </c>
      <c r="C58" s="7">
        <v>70.180232200000006</v>
      </c>
      <c r="D58" s="7">
        <f t="shared" si="2"/>
        <v>69.829822573718005</v>
      </c>
      <c r="E58" s="7">
        <f t="shared" si="0"/>
        <v>0.35040962628200134</v>
      </c>
      <c r="F58" s="7">
        <f t="shared" si="1"/>
        <v>0.12278690619109184</v>
      </c>
    </row>
    <row r="59" spans="1:6">
      <c r="A59" s="8">
        <v>58</v>
      </c>
      <c r="B59" s="6">
        <v>43888</v>
      </c>
      <c r="C59" s="7">
        <v>68.541714760000005</v>
      </c>
      <c r="D59" s="7">
        <f t="shared" si="2"/>
        <v>70.838311802017174</v>
      </c>
      <c r="E59" s="7">
        <f t="shared" si="0"/>
        <v>-2.2965970420171686</v>
      </c>
      <c r="F59" s="7">
        <f t="shared" si="1"/>
        <v>5.274357973402009</v>
      </c>
    </row>
    <row r="60" spans="1:6">
      <c r="A60" s="8">
        <v>59</v>
      </c>
      <c r="B60" s="6">
        <v>43889</v>
      </c>
      <c r="C60" s="7">
        <v>68.700255189999993</v>
      </c>
      <c r="D60" s="7">
        <f t="shared" si="2"/>
        <v>67.538791468711409</v>
      </c>
      <c r="E60" s="7">
        <f t="shared" si="0"/>
        <v>1.1614637212885839</v>
      </c>
      <c r="F60" s="7">
        <f t="shared" si="1"/>
        <v>1.3489979758695252</v>
      </c>
    </row>
    <row r="61" spans="1:6">
      <c r="A61" s="8">
        <v>60</v>
      </c>
      <c r="B61" s="6">
        <v>43890</v>
      </c>
      <c r="C61" s="7">
        <v>68.71202289</v>
      </c>
      <c r="D61" s="7">
        <f t="shared" si="2"/>
        <v>69.394937335887803</v>
      </c>
      <c r="E61" s="7">
        <f t="shared" si="0"/>
        <v>-0.68291444588780337</v>
      </c>
      <c r="F61" s="7">
        <f t="shared" si="1"/>
        <v>0.46637214040224551</v>
      </c>
    </row>
    <row r="62" spans="1:6">
      <c r="A62" s="8">
        <v>61</v>
      </c>
      <c r="B62" s="6">
        <v>43891</v>
      </c>
      <c r="C62" s="7">
        <v>68.684396269999993</v>
      </c>
      <c r="D62" s="7">
        <f t="shared" si="2"/>
        <v>67.721620575626162</v>
      </c>
      <c r="E62" s="7">
        <f t="shared" si="0"/>
        <v>0.96277569437383193</v>
      </c>
      <c r="F62" s="7">
        <f t="shared" si="1"/>
        <v>0.92693703767701419</v>
      </c>
    </row>
    <row r="63" spans="1:6">
      <c r="A63" s="8">
        <v>62</v>
      </c>
      <c r="B63" s="6">
        <v>43892</v>
      </c>
      <c r="C63" s="7">
        <v>68.333962540000002</v>
      </c>
      <c r="D63" s="7">
        <f t="shared" si="2"/>
        <v>69.361167575079392</v>
      </c>
      <c r="E63" s="7">
        <f t="shared" si="0"/>
        <v>-1.0272050350793904</v>
      </c>
      <c r="F63" s="7">
        <f t="shared" si="1"/>
        <v>1.0551501840924518</v>
      </c>
    </row>
    <row r="64" spans="1:6">
      <c r="A64" s="8">
        <v>63</v>
      </c>
      <c r="B64" s="6">
        <v>43893</v>
      </c>
      <c r="C64" s="7">
        <v>69.847547739999996</v>
      </c>
      <c r="D64" s="7">
        <f t="shared" si="2"/>
        <v>67.352093161269991</v>
      </c>
      <c r="E64" s="7">
        <f t="shared" si="0"/>
        <v>2.4954545787300049</v>
      </c>
      <c r="F64" s="7">
        <f t="shared" si="1"/>
        <v>6.2272935545045458</v>
      </c>
    </row>
    <row r="65" spans="1:6">
      <c r="A65" s="8">
        <v>64</v>
      </c>
      <c r="B65" s="6">
        <v>43894</v>
      </c>
      <c r="C65" s="7">
        <v>70.506236029999997</v>
      </c>
      <c r="D65" s="7">
        <f t="shared" si="2"/>
        <v>70.556978295409309</v>
      </c>
      <c r="E65" s="7">
        <f t="shared" si="0"/>
        <v>-5.0742265409311926E-2</v>
      </c>
      <c r="F65" s="7">
        <f t="shared" si="1"/>
        <v>2.5747774988690536E-3</v>
      </c>
    </row>
    <row r="66" spans="1:6">
      <c r="A66" s="8">
        <v>65</v>
      </c>
      <c r="B66" s="6">
        <v>43895</v>
      </c>
      <c r="C66" s="7">
        <v>69.901311930000006</v>
      </c>
      <c r="D66" s="7">
        <f t="shared" si="2"/>
        <v>69.512727927952483</v>
      </c>
      <c r="E66" s="7">
        <f t="shared" si="0"/>
        <v>0.38858400204752286</v>
      </c>
      <c r="F66" s="7">
        <f t="shared" si="1"/>
        <v>0.15099752664726926</v>
      </c>
    </row>
    <row r="67" spans="1:6">
      <c r="A67" s="8">
        <v>66</v>
      </c>
      <c r="B67" s="6">
        <v>43896</v>
      </c>
      <c r="C67" s="7">
        <v>69.139578420000007</v>
      </c>
      <c r="D67" s="7">
        <f t="shared" si="2"/>
        <v>70.558472442415749</v>
      </c>
      <c r="E67" s="7">
        <f t="shared" si="0"/>
        <v>-1.418894022415742</v>
      </c>
      <c r="F67" s="7">
        <f t="shared" si="1"/>
        <v>2.0132602468471243</v>
      </c>
    </row>
    <row r="68" spans="1:6">
      <c r="A68" s="8">
        <v>67</v>
      </c>
      <c r="B68" s="6">
        <v>43897</v>
      </c>
      <c r="C68" s="7">
        <v>69.489930369999996</v>
      </c>
      <c r="D68" s="7">
        <f t="shared" si="2"/>
        <v>68.16123196657621</v>
      </c>
      <c r="E68" s="7">
        <f t="shared" ref="E68:E131" si="3">C68-D68</f>
        <v>1.3286984034237861</v>
      </c>
      <c r="F68" s="7">
        <f t="shared" ref="F68:F131" si="4">E68^2</f>
        <v>1.7654394472609183</v>
      </c>
    </row>
    <row r="69" spans="1:6">
      <c r="A69" s="8">
        <v>68</v>
      </c>
      <c r="B69" s="6">
        <v>43898</v>
      </c>
      <c r="C69" s="7">
        <v>71.031279420000004</v>
      </c>
      <c r="D69" s="7">
        <f t="shared" ref="D69:D132" si="5">0.03559*C68+0.96*C67+0+0.99*E68</f>
        <v>70.162553324457846</v>
      </c>
      <c r="E69" s="7">
        <f t="shared" si="3"/>
        <v>0.86872609554215785</v>
      </c>
      <c r="F69" s="7">
        <f t="shared" si="4"/>
        <v>0.75468502907592239</v>
      </c>
    </row>
    <row r="70" spans="1:6">
      <c r="A70" s="8">
        <v>69</v>
      </c>
      <c r="B70" s="6">
        <v>43899</v>
      </c>
      <c r="C70" s="7">
        <v>68.767572830000006</v>
      </c>
      <c r="D70" s="7">
        <f t="shared" si="5"/>
        <v>70.098375224344522</v>
      </c>
      <c r="E70" s="7">
        <f t="shared" si="3"/>
        <v>-1.3308023943445164</v>
      </c>
      <c r="F70" s="7">
        <f t="shared" si="4"/>
        <v>1.7710350127930978</v>
      </c>
    </row>
    <row r="71" spans="1:6">
      <c r="A71" s="8">
        <v>70</v>
      </c>
      <c r="B71" s="6">
        <v>43900</v>
      </c>
      <c r="C71" s="7">
        <v>69.328036389999994</v>
      </c>
      <c r="D71" s="7">
        <f t="shared" si="5"/>
        <v>69.319971789818638</v>
      </c>
      <c r="E71" s="7">
        <f t="shared" si="3"/>
        <v>8.0646001813562407E-3</v>
      </c>
      <c r="F71" s="7">
        <f t="shared" si="4"/>
        <v>6.5037776085131104E-5</v>
      </c>
    </row>
    <row r="72" spans="1:6">
      <c r="A72" s="8">
        <v>71</v>
      </c>
      <c r="B72" s="6">
        <v>43901</v>
      </c>
      <c r="C72" s="7">
        <v>69.420838009999997</v>
      </c>
      <c r="D72" s="7">
        <f t="shared" si="5"/>
        <v>68.49223868609964</v>
      </c>
      <c r="E72" s="7">
        <f t="shared" si="3"/>
        <v>0.92859932390035738</v>
      </c>
      <c r="F72" s="7">
        <f t="shared" si="4"/>
        <v>0.86229670434820083</v>
      </c>
    </row>
    <row r="73" spans="1:6">
      <c r="A73" s="8">
        <v>72</v>
      </c>
      <c r="B73" s="6">
        <v>43902</v>
      </c>
      <c r="C73" s="7">
        <v>67.969506050000007</v>
      </c>
      <c r="D73" s="7">
        <f t="shared" si="5"/>
        <v>69.944915889837247</v>
      </c>
      <c r="E73" s="7">
        <f t="shared" si="3"/>
        <v>-1.9754098398372406</v>
      </c>
      <c r="F73" s="7">
        <f t="shared" si="4"/>
        <v>3.9022440353257926</v>
      </c>
    </row>
    <row r="74" spans="1:6">
      <c r="A74" s="8">
        <v>73</v>
      </c>
      <c r="B74" s="6">
        <v>43903</v>
      </c>
      <c r="C74" s="7">
        <v>67.009749139999997</v>
      </c>
      <c r="D74" s="7">
        <f t="shared" si="5"/>
        <v>67.10738346848062</v>
      </c>
      <c r="E74" s="7">
        <f t="shared" si="3"/>
        <v>-9.7634328480623367E-2</v>
      </c>
      <c r="F74" s="7">
        <f t="shared" si="4"/>
        <v>9.5324620978622637E-3</v>
      </c>
    </row>
    <row r="75" spans="1:6">
      <c r="A75" s="8">
        <v>74</v>
      </c>
      <c r="B75" s="6">
        <v>43904</v>
      </c>
      <c r="C75" s="7">
        <v>67.902214180000001</v>
      </c>
      <c r="D75" s="7">
        <f t="shared" si="5"/>
        <v>67.538944794696775</v>
      </c>
      <c r="E75" s="7">
        <f t="shared" si="3"/>
        <v>0.3632693853032265</v>
      </c>
      <c r="F75" s="7">
        <f t="shared" si="4"/>
        <v>0.13196464629858404</v>
      </c>
    </row>
    <row r="76" spans="1:6">
      <c r="A76" s="8">
        <v>75</v>
      </c>
      <c r="B76" s="6">
        <v>43905</v>
      </c>
      <c r="C76" s="7">
        <v>69.857913319999994</v>
      </c>
      <c r="D76" s="7">
        <f t="shared" si="5"/>
        <v>67.105635668516385</v>
      </c>
      <c r="E76" s="7">
        <f t="shared" si="3"/>
        <v>2.7522776514836096</v>
      </c>
      <c r="F76" s="7">
        <f t="shared" si="4"/>
        <v>7.5750322708561333</v>
      </c>
    </row>
    <row r="77" spans="1:6">
      <c r="A77" s="8">
        <v>76</v>
      </c>
      <c r="B77" s="6">
        <v>43906</v>
      </c>
      <c r="C77" s="7">
        <v>70.937146670000004</v>
      </c>
      <c r="D77" s="7">
        <f t="shared" si="5"/>
        <v>70.397123622827564</v>
      </c>
      <c r="E77" s="7">
        <f t="shared" si="3"/>
        <v>0.54002304717243987</v>
      </c>
      <c r="F77" s="7">
        <f t="shared" si="4"/>
        <v>0.29162489147740722</v>
      </c>
    </row>
    <row r="78" spans="1:6">
      <c r="A78" s="8">
        <v>77</v>
      </c>
      <c r="B78" s="6">
        <v>43907</v>
      </c>
      <c r="C78" s="7">
        <v>69.665932440000006</v>
      </c>
      <c r="D78" s="7">
        <f t="shared" si="5"/>
        <v>70.12287265388602</v>
      </c>
      <c r="E78" s="7">
        <f t="shared" si="3"/>
        <v>-0.45694021388601413</v>
      </c>
      <c r="F78" s="7">
        <f t="shared" si="4"/>
        <v>0.20879435906619634</v>
      </c>
    </row>
    <row r="79" spans="1:6">
      <c r="A79" s="8">
        <v>78</v>
      </c>
      <c r="B79" s="6">
        <v>43908</v>
      </c>
      <c r="C79" s="7">
        <v>70.535436450000006</v>
      </c>
      <c r="D79" s="7">
        <f t="shared" si="5"/>
        <v>70.126700526992437</v>
      </c>
      <c r="E79" s="7">
        <f t="shared" si="3"/>
        <v>0.40873592300756911</v>
      </c>
      <c r="F79" s="7">
        <f t="shared" si="4"/>
        <v>0.16706505475684946</v>
      </c>
    </row>
    <row r="80" spans="1:6">
      <c r="A80" s="8">
        <v>79</v>
      </c>
      <c r="B80" s="6">
        <v>43909</v>
      </c>
      <c r="C80" s="7">
        <v>71.844465639999996</v>
      </c>
      <c r="D80" s="7">
        <f t="shared" si="5"/>
        <v>69.794299889432992</v>
      </c>
      <c r="E80" s="7">
        <f t="shared" si="3"/>
        <v>2.0501657505670039</v>
      </c>
      <c r="F80" s="7">
        <f t="shared" si="4"/>
        <v>4.2031796047979668</v>
      </c>
    </row>
    <row r="81" spans="1:6">
      <c r="A81" s="8">
        <v>80</v>
      </c>
      <c r="B81" s="6">
        <v>43910</v>
      </c>
      <c r="C81" s="7">
        <v>71.342135029999994</v>
      </c>
      <c r="D81" s="7">
        <f t="shared" si="5"/>
        <v>72.300627617188937</v>
      </c>
      <c r="E81" s="7">
        <f t="shared" si="3"/>
        <v>-0.95849258718894248</v>
      </c>
      <c r="F81" s="7">
        <f t="shared" si="4"/>
        <v>0.91870803969615256</v>
      </c>
    </row>
    <row r="82" spans="1:6">
      <c r="A82" s="8">
        <v>81</v>
      </c>
      <c r="B82" s="6">
        <v>43911</v>
      </c>
      <c r="C82" s="7">
        <v>69.66053866</v>
      </c>
      <c r="D82" s="7">
        <f t="shared" si="5"/>
        <v>70.560845938800654</v>
      </c>
      <c r="E82" s="7">
        <f t="shared" si="3"/>
        <v>-0.90030727880065342</v>
      </c>
      <c r="F82" s="7">
        <f t="shared" si="4"/>
        <v>0.81055319626143751</v>
      </c>
    </row>
    <row r="83" spans="1:6">
      <c r="A83" s="8">
        <v>82</v>
      </c>
      <c r="B83" s="6">
        <v>43912</v>
      </c>
      <c r="C83" s="7">
        <v>70.518101869999995</v>
      </c>
      <c r="D83" s="7">
        <f t="shared" si="5"/>
        <v>70.076363993696745</v>
      </c>
      <c r="E83" s="7">
        <f t="shared" si="3"/>
        <v>0.44173787630325023</v>
      </c>
      <c r="F83" s="7">
        <f t="shared" si="4"/>
        <v>0.19513235136090559</v>
      </c>
    </row>
    <row r="84" spans="1:6">
      <c r="A84" s="8">
        <v>83</v>
      </c>
      <c r="B84" s="6">
        <v>43913</v>
      </c>
      <c r="C84" s="7">
        <v>71.168095219999998</v>
      </c>
      <c r="D84" s="7">
        <f t="shared" si="5"/>
        <v>69.821176856693512</v>
      </c>
      <c r="E84" s="7">
        <f t="shared" si="3"/>
        <v>1.3469183633064858</v>
      </c>
      <c r="F84" s="7">
        <f t="shared" si="4"/>
        <v>1.8141890774122227</v>
      </c>
    </row>
    <row r="85" spans="1:6">
      <c r="A85" s="8">
        <v>84</v>
      </c>
      <c r="B85" s="6">
        <v>43914</v>
      </c>
      <c r="C85" s="7">
        <v>71.412833980000002</v>
      </c>
      <c r="D85" s="7">
        <f t="shared" si="5"/>
        <v>71.563699483753226</v>
      </c>
      <c r="E85" s="7">
        <f t="shared" si="3"/>
        <v>-0.15086550375322361</v>
      </c>
      <c r="F85" s="7">
        <f t="shared" si="4"/>
        <v>2.2760400222713927E-2</v>
      </c>
    </row>
    <row r="86" spans="1:6">
      <c r="A86" s="8">
        <v>85</v>
      </c>
      <c r="B86" s="6">
        <v>43915</v>
      </c>
      <c r="C86" s="7">
        <v>69.840808150000001</v>
      </c>
      <c r="D86" s="7">
        <f t="shared" si="5"/>
        <v>70.713597323832488</v>
      </c>
      <c r="E86" s="7">
        <f t="shared" si="3"/>
        <v>-0.87278917383248711</v>
      </c>
      <c r="F86" s="7">
        <f t="shared" si="4"/>
        <v>0.76176094195919541</v>
      </c>
    </row>
    <row r="87" spans="1:6">
      <c r="A87" s="8">
        <v>86</v>
      </c>
      <c r="B87" s="6">
        <v>43916</v>
      </c>
      <c r="C87" s="7">
        <v>66.646080190000006</v>
      </c>
      <c r="D87" s="7">
        <f t="shared" si="5"/>
        <v>70.177893700764344</v>
      </c>
      <c r="E87" s="7">
        <f t="shared" si="3"/>
        <v>-3.5318135107643371</v>
      </c>
      <c r="F87" s="7">
        <f t="shared" si="4"/>
        <v>12.473706674817512</v>
      </c>
    </row>
    <row r="88" spans="1:6">
      <c r="A88" s="8">
        <v>87</v>
      </c>
      <c r="B88" s="6">
        <v>43917</v>
      </c>
      <c r="C88" s="7">
        <v>70.152196689999997</v>
      </c>
      <c r="D88" s="7">
        <f t="shared" si="5"/>
        <v>65.922614442305402</v>
      </c>
      <c r="E88" s="7">
        <f t="shared" si="3"/>
        <v>4.2295822476945943</v>
      </c>
      <c r="F88" s="7">
        <f t="shared" si="4"/>
        <v>17.889365990013257</v>
      </c>
    </row>
    <row r="89" spans="1:6">
      <c r="A89" s="8">
        <v>88</v>
      </c>
      <c r="B89" s="6">
        <v>43918</v>
      </c>
      <c r="C89" s="7">
        <v>69.486615549999996</v>
      </c>
      <c r="D89" s="7">
        <f t="shared" si="5"/>
        <v>70.664240087814747</v>
      </c>
      <c r="E89" s="7">
        <f t="shared" si="3"/>
        <v>-1.1776245378147507</v>
      </c>
      <c r="F89" s="7">
        <f t="shared" si="4"/>
        <v>1.3867995520634053</v>
      </c>
    </row>
    <row r="90" spans="1:6">
      <c r="A90" s="8">
        <v>89</v>
      </c>
      <c r="B90" s="6">
        <v>43919</v>
      </c>
      <c r="C90" s="7">
        <v>69.610542249999995</v>
      </c>
      <c r="D90" s="7">
        <f t="shared" si="5"/>
        <v>68.65328917738789</v>
      </c>
      <c r="E90" s="7">
        <f t="shared" si="3"/>
        <v>0.95725307261210446</v>
      </c>
      <c r="F90" s="7">
        <f t="shared" si="4"/>
        <v>0.91633344502531489</v>
      </c>
    </row>
    <row r="91" spans="1:6">
      <c r="A91" s="8">
        <v>90</v>
      </c>
      <c r="B91" s="6">
        <v>43920</v>
      </c>
      <c r="C91" s="7">
        <v>72.301086040000001</v>
      </c>
      <c r="D91" s="7">
        <f t="shared" si="5"/>
        <v>70.132270668563478</v>
      </c>
      <c r="E91" s="7">
        <f t="shared" si="3"/>
        <v>2.1688153714365228</v>
      </c>
      <c r="F91" s="7">
        <f t="shared" si="4"/>
        <v>4.7037601153793425</v>
      </c>
    </row>
    <row r="92" spans="1:6">
      <c r="A92" s="8">
        <v>91</v>
      </c>
      <c r="B92" s="6">
        <v>43921</v>
      </c>
      <c r="C92" s="7">
        <v>71.828065699999996</v>
      </c>
      <c r="D92" s="7">
        <f t="shared" si="5"/>
        <v>71.546443429885755</v>
      </c>
      <c r="E92" s="7">
        <f t="shared" si="3"/>
        <v>0.28162227011424079</v>
      </c>
      <c r="F92" s="7">
        <f t="shared" si="4"/>
        <v>7.9311103024298404E-2</v>
      </c>
    </row>
    <row r="93" spans="1:6">
      <c r="A93" s="8">
        <v>92</v>
      </c>
      <c r="B93" s="6">
        <v>43922</v>
      </c>
      <c r="C93" s="7">
        <v>71.355760079999996</v>
      </c>
      <c r="D93" s="7">
        <f t="shared" si="5"/>
        <v>72.244209504076096</v>
      </c>
      <c r="E93" s="7">
        <f t="shared" si="3"/>
        <v>-0.88844942407610006</v>
      </c>
      <c r="F93" s="7">
        <f t="shared" si="4"/>
        <v>0.7893423791411539</v>
      </c>
    </row>
    <row r="94" spans="1:6">
      <c r="A94" s="8">
        <v>93</v>
      </c>
      <c r="B94" s="6">
        <v>43923</v>
      </c>
      <c r="C94" s="7">
        <v>68.762639770000007</v>
      </c>
      <c r="D94" s="7">
        <f t="shared" si="5"/>
        <v>70.614929643411855</v>
      </c>
      <c r="E94" s="7">
        <f t="shared" si="3"/>
        <v>-1.8522898734118485</v>
      </c>
      <c r="F94" s="7">
        <f t="shared" si="4"/>
        <v>3.4309777751440818</v>
      </c>
    </row>
    <row r="95" spans="1:6">
      <c r="A95" s="8">
        <v>94</v>
      </c>
      <c r="B95" s="6">
        <v>43924</v>
      </c>
      <c r="C95" s="7">
        <v>67.073188880000004</v>
      </c>
      <c r="D95" s="7">
        <f t="shared" si="5"/>
        <v>69.115025051536563</v>
      </c>
      <c r="E95" s="7">
        <f t="shared" si="3"/>
        <v>-2.0418361715365592</v>
      </c>
      <c r="F95" s="7">
        <f t="shared" si="4"/>
        <v>4.1690949513950732</v>
      </c>
    </row>
    <row r="96" spans="1:6">
      <c r="A96" s="8">
        <v>95</v>
      </c>
      <c r="B96" s="6">
        <v>43925</v>
      </c>
      <c r="C96" s="7">
        <v>68.082418610000005</v>
      </c>
      <c r="D96" s="7">
        <f t="shared" si="5"/>
        <v>66.377851161618011</v>
      </c>
      <c r="E96" s="7">
        <f t="shared" si="3"/>
        <v>1.7045674483819937</v>
      </c>
      <c r="F96" s="7">
        <f t="shared" si="4"/>
        <v>2.9055501860835009</v>
      </c>
    </row>
    <row r="97" spans="1:6">
      <c r="A97" s="8">
        <v>96</v>
      </c>
      <c r="B97" s="6">
        <v>43926</v>
      </c>
      <c r="C97" s="7">
        <v>70.818244230000005</v>
      </c>
      <c r="D97" s="7">
        <f t="shared" si="5"/>
        <v>68.500836377028079</v>
      </c>
      <c r="E97" s="7">
        <f t="shared" si="3"/>
        <v>2.3174078529719253</v>
      </c>
      <c r="F97" s="7">
        <f t="shared" si="4"/>
        <v>5.3703791570159485</v>
      </c>
    </row>
    <row r="98" spans="1:6">
      <c r="A98" s="8">
        <v>97</v>
      </c>
      <c r="B98" s="6">
        <v>43927</v>
      </c>
      <c r="C98" s="7">
        <v>70.719971509999993</v>
      </c>
      <c r="D98" s="7">
        <f t="shared" si="5"/>
        <v>70.173776952187907</v>
      </c>
      <c r="E98" s="7">
        <f t="shared" si="3"/>
        <v>0.54619455781208615</v>
      </c>
      <c r="F98" s="7">
        <f t="shared" si="4"/>
        <v>0.2983284949835403</v>
      </c>
    </row>
    <row r="99" spans="1:6">
      <c r="A99" s="8">
        <v>98</v>
      </c>
      <c r="B99" s="6">
        <v>43928</v>
      </c>
      <c r="C99" s="7">
        <v>69.391873320000002</v>
      </c>
      <c r="D99" s="7">
        <f t="shared" si="5"/>
        <v>71.043170859074877</v>
      </c>
      <c r="E99" s="7">
        <f t="shared" si="3"/>
        <v>-1.651297539074875</v>
      </c>
      <c r="F99" s="7">
        <f t="shared" si="4"/>
        <v>2.7267835625547381</v>
      </c>
    </row>
    <row r="100" spans="1:6">
      <c r="A100" s="8">
        <v>99</v>
      </c>
      <c r="B100" s="6">
        <v>43929</v>
      </c>
      <c r="C100" s="7">
        <v>69.617099830000001</v>
      </c>
      <c r="D100" s="7">
        <f t="shared" si="5"/>
        <v>68.726044857374674</v>
      </c>
      <c r="E100" s="7">
        <f t="shared" si="3"/>
        <v>0.89105497262532651</v>
      </c>
      <c r="F100" s="7">
        <f t="shared" si="4"/>
        <v>0.79397896424032133</v>
      </c>
    </row>
    <row r="101" spans="1:6">
      <c r="A101" s="8">
        <v>100</v>
      </c>
      <c r="B101" s="6">
        <v>43930</v>
      </c>
      <c r="C101" s="7">
        <v>71.034633119999995</v>
      </c>
      <c r="D101" s="7">
        <f t="shared" si="5"/>
        <v>69.976015393048769</v>
      </c>
      <c r="E101" s="7">
        <f t="shared" si="3"/>
        <v>1.0586177269512262</v>
      </c>
      <c r="F101" s="7">
        <f t="shared" si="4"/>
        <v>1.1206714918153811</v>
      </c>
    </row>
    <row r="102" spans="1:6">
      <c r="A102" s="8">
        <v>101</v>
      </c>
      <c r="B102" s="6">
        <v>43931</v>
      </c>
      <c r="C102" s="7">
        <v>69.290709719999995</v>
      </c>
      <c r="D102" s="7">
        <f t="shared" si="5"/>
        <v>70.408569979222506</v>
      </c>
      <c r="E102" s="7">
        <f t="shared" si="3"/>
        <v>-1.1178602592225104</v>
      </c>
      <c r="F102" s="7">
        <f t="shared" si="4"/>
        <v>1.2496115591490182</v>
      </c>
    </row>
    <row r="103" spans="1:6">
      <c r="A103" s="8">
        <v>102</v>
      </c>
      <c r="B103" s="6">
        <v>43932</v>
      </c>
      <c r="C103" s="7">
        <v>68.053492899999995</v>
      </c>
      <c r="D103" s="7">
        <f t="shared" si="5"/>
        <v>69.552622497504501</v>
      </c>
      <c r="E103" s="7">
        <f t="shared" si="3"/>
        <v>-1.4991295975045063</v>
      </c>
      <c r="F103" s="7">
        <f t="shared" si="4"/>
        <v>2.2473895501140229</v>
      </c>
    </row>
    <row r="104" spans="1:6">
      <c r="A104" s="8">
        <v>103</v>
      </c>
      <c r="B104" s="6">
        <v>43933</v>
      </c>
      <c r="C104" s="7">
        <v>68.25621357</v>
      </c>
      <c r="D104" s="7">
        <f t="shared" si="5"/>
        <v>67.45696684198154</v>
      </c>
      <c r="E104" s="7">
        <f t="shared" si="3"/>
        <v>0.79924672801845986</v>
      </c>
      <c r="F104" s="7">
        <f t="shared" si="4"/>
        <v>0.63879533224821394</v>
      </c>
    </row>
    <row r="105" spans="1:6">
      <c r="A105" s="8">
        <v>104</v>
      </c>
      <c r="B105" s="6">
        <v>43934</v>
      </c>
      <c r="C105" s="7">
        <v>70.632318650000002</v>
      </c>
      <c r="D105" s="7">
        <f t="shared" si="5"/>
        <v>68.551846085694564</v>
      </c>
      <c r="E105" s="7">
        <f t="shared" si="3"/>
        <v>2.0804725643054383</v>
      </c>
      <c r="F105" s="7">
        <f t="shared" si="4"/>
        <v>4.3283660908276458</v>
      </c>
    </row>
    <row r="106" spans="1:6">
      <c r="A106" s="8">
        <v>105</v>
      </c>
      <c r="B106" s="6">
        <v>43935</v>
      </c>
      <c r="C106" s="7">
        <v>71.137348639999999</v>
      </c>
      <c r="D106" s="7">
        <f t="shared" si="5"/>
        <v>70.099437086615879</v>
      </c>
      <c r="E106" s="7">
        <f t="shared" si="3"/>
        <v>1.0379115533841201</v>
      </c>
      <c r="F106" s="7">
        <f t="shared" si="4"/>
        <v>1.0772603926482371</v>
      </c>
    </row>
    <row r="107" spans="1:6">
      <c r="A107" s="8">
        <v>106</v>
      </c>
      <c r="B107" s="6">
        <v>43936</v>
      </c>
      <c r="C107" s="7">
        <v>72.624866999999995</v>
      </c>
      <c r="D107" s="7">
        <f t="shared" si="5"/>
        <v>71.366336579947884</v>
      </c>
      <c r="E107" s="7">
        <f t="shared" si="3"/>
        <v>1.2585304200521108</v>
      </c>
      <c r="F107" s="7">
        <f t="shared" si="4"/>
        <v>1.5838988181965425</v>
      </c>
    </row>
    <row r="108" spans="1:6">
      <c r="A108" s="8">
        <v>107</v>
      </c>
      <c r="B108" s="6">
        <v>43937</v>
      </c>
      <c r="C108" s="7">
        <v>72.170161329999999</v>
      </c>
      <c r="D108" s="7">
        <f t="shared" si="5"/>
        <v>72.122518826781587</v>
      </c>
      <c r="E108" s="7">
        <f t="shared" si="3"/>
        <v>4.7642503218412457E-2</v>
      </c>
      <c r="F108" s="7">
        <f t="shared" si="4"/>
        <v>2.2698081129164413E-3</v>
      </c>
    </row>
    <row r="109" spans="1:6">
      <c r="A109" s="8">
        <v>108</v>
      </c>
      <c r="B109" s="6">
        <v>43938</v>
      </c>
      <c r="C109" s="7">
        <v>70.479541519999998</v>
      </c>
      <c r="D109" s="7">
        <f t="shared" si="5"/>
        <v>72.335574439920919</v>
      </c>
      <c r="E109" s="7">
        <f t="shared" si="3"/>
        <v>-1.8560329199209207</v>
      </c>
      <c r="F109" s="7">
        <f t="shared" si="4"/>
        <v>3.4448581998301786</v>
      </c>
    </row>
    <row r="110" spans="1:6">
      <c r="A110" s="8">
        <v>109</v>
      </c>
      <c r="B110" s="6">
        <v>43939</v>
      </c>
      <c r="C110" s="7">
        <v>70.901754350000004</v>
      </c>
      <c r="D110" s="7">
        <f t="shared" si="5"/>
        <v>69.954249168775078</v>
      </c>
      <c r="E110" s="7">
        <f t="shared" si="3"/>
        <v>0.94750518122492622</v>
      </c>
      <c r="F110" s="7">
        <f t="shared" si="4"/>
        <v>0.89776606844808027</v>
      </c>
    </row>
    <row r="111" spans="1:6">
      <c r="A111" s="8">
        <v>110</v>
      </c>
      <c r="B111" s="6">
        <v>43940</v>
      </c>
      <c r="C111" s="7">
        <v>70.608687169999996</v>
      </c>
      <c r="D111" s="7">
        <f t="shared" si="5"/>
        <v>71.121783425929181</v>
      </c>
      <c r="E111" s="7">
        <f t="shared" si="3"/>
        <v>-0.51309625592918451</v>
      </c>
      <c r="F111" s="7">
        <f t="shared" si="4"/>
        <v>0.26326776784854722</v>
      </c>
    </row>
    <row r="112" spans="1:6">
      <c r="A112" s="8">
        <v>111</v>
      </c>
      <c r="B112" s="6">
        <v>43941</v>
      </c>
      <c r="C112" s="7">
        <v>69.389764639999996</v>
      </c>
      <c r="D112" s="7">
        <f t="shared" si="5"/>
        <v>70.070682059010409</v>
      </c>
      <c r="E112" s="7">
        <f t="shared" si="3"/>
        <v>-0.68091741901041303</v>
      </c>
      <c r="F112" s="7">
        <f t="shared" si="4"/>
        <v>0.46364853151180241</v>
      </c>
    </row>
    <row r="113" spans="1:6">
      <c r="A113" s="8">
        <v>112</v>
      </c>
      <c r="B113" s="6">
        <v>43942</v>
      </c>
      <c r="C113" s="7">
        <v>70.131227480000007</v>
      </c>
      <c r="D113" s="7">
        <f t="shared" si="5"/>
        <v>69.579813161917286</v>
      </c>
      <c r="E113" s="7">
        <f t="shared" si="3"/>
        <v>0.55141431808272046</v>
      </c>
      <c r="F113" s="7">
        <f t="shared" si="4"/>
        <v>0.30405775018663161</v>
      </c>
    </row>
    <row r="114" spans="1:6">
      <c r="A114" s="8">
        <v>113</v>
      </c>
      <c r="B114" s="6">
        <v>43943</v>
      </c>
      <c r="C114" s="7">
        <v>69.565480440000002</v>
      </c>
      <c r="D114" s="7">
        <f t="shared" si="5"/>
        <v>69.656044615315082</v>
      </c>
      <c r="E114" s="7">
        <f t="shared" si="3"/>
        <v>-9.056417531508032E-2</v>
      </c>
      <c r="F114" s="7">
        <f t="shared" si="4"/>
        <v>8.2018698505006028E-3</v>
      </c>
    </row>
    <row r="115" spans="1:6">
      <c r="A115" s="8">
        <v>114</v>
      </c>
      <c r="B115" s="6">
        <v>43944</v>
      </c>
      <c r="C115" s="7">
        <v>69.409522920000001</v>
      </c>
      <c r="D115" s="7">
        <f t="shared" si="5"/>
        <v>69.712155296097677</v>
      </c>
      <c r="E115" s="7">
        <f t="shared" si="3"/>
        <v>-0.30263237609767657</v>
      </c>
      <c r="F115" s="7">
        <f t="shared" si="4"/>
        <v>9.1586355062525562E-2</v>
      </c>
    </row>
    <row r="116" spans="1:6">
      <c r="A116" s="8">
        <v>115</v>
      </c>
      <c r="B116" s="6">
        <v>43945</v>
      </c>
      <c r="C116" s="7">
        <v>71.103852320000001</v>
      </c>
      <c r="D116" s="7">
        <f t="shared" si="5"/>
        <v>68.953540090786106</v>
      </c>
      <c r="E116" s="7">
        <f t="shared" si="3"/>
        <v>2.1503122292138954</v>
      </c>
      <c r="F116" s="7">
        <f t="shared" si="4"/>
        <v>4.6238426831068322</v>
      </c>
    </row>
    <row r="117" spans="1:6">
      <c r="A117" s="8">
        <v>116</v>
      </c>
      <c r="B117" s="6">
        <v>43946</v>
      </c>
      <c r="C117" s="7">
        <v>70.738173029999999</v>
      </c>
      <c r="D117" s="7">
        <f t="shared" si="5"/>
        <v>71.292537214190546</v>
      </c>
      <c r="E117" s="7">
        <f t="shared" si="3"/>
        <v>-0.55436418419054689</v>
      </c>
      <c r="F117" s="7">
        <f t="shared" si="4"/>
        <v>0.30731964871325063</v>
      </c>
    </row>
    <row r="118" spans="1:6">
      <c r="A118" s="8">
        <v>117</v>
      </c>
      <c r="B118" s="6">
        <v>43947</v>
      </c>
      <c r="C118" s="7">
        <v>69.308606729999994</v>
      </c>
      <c r="D118" s="7">
        <f t="shared" si="5"/>
        <v>70.228449262989074</v>
      </c>
      <c r="E118" s="7">
        <f t="shared" si="3"/>
        <v>-0.91984253298907959</v>
      </c>
      <c r="F118" s="7">
        <f t="shared" si="4"/>
        <v>0.84611028549576595</v>
      </c>
    </row>
    <row r="119" spans="1:6">
      <c r="A119" s="8">
        <v>118</v>
      </c>
      <c r="B119" s="6">
        <v>43948</v>
      </c>
      <c r="C119" s="7">
        <v>68.899374440000003</v>
      </c>
      <c r="D119" s="7">
        <f t="shared" si="5"/>
        <v>69.464695314661498</v>
      </c>
      <c r="E119" s="7">
        <f t="shared" si="3"/>
        <v>-0.56532087466149505</v>
      </c>
      <c r="F119" s="7">
        <f t="shared" si="4"/>
        <v>0.31958769132803783</v>
      </c>
    </row>
    <row r="120" spans="1:6">
      <c r="A120" s="8">
        <v>119</v>
      </c>
      <c r="B120" s="6">
        <v>43949</v>
      </c>
      <c r="C120" s="7">
        <v>70.568833229999996</v>
      </c>
      <c r="D120" s="7">
        <f t="shared" si="5"/>
        <v>68.428723531204696</v>
      </c>
      <c r="E120" s="7">
        <f t="shared" si="3"/>
        <v>2.1401096987952997</v>
      </c>
      <c r="F120" s="7">
        <f t="shared" si="4"/>
        <v>4.5800695228777082</v>
      </c>
    </row>
    <row r="121" spans="1:6">
      <c r="A121" s="8">
        <v>120</v>
      </c>
      <c r="B121" s="6">
        <v>43950</v>
      </c>
      <c r="C121" s="7">
        <v>70.118946930000007</v>
      </c>
      <c r="D121" s="7">
        <f t="shared" si="5"/>
        <v>70.773652838863043</v>
      </c>
      <c r="E121" s="7">
        <f t="shared" si="3"/>
        <v>-0.65470590886303626</v>
      </c>
      <c r="F121" s="7">
        <f t="shared" si="4"/>
        <v>0.42863982710017434</v>
      </c>
    </row>
    <row r="122" spans="1:6">
      <c r="A122" s="8">
        <v>121</v>
      </c>
      <c r="B122" s="6">
        <v>43951</v>
      </c>
      <c r="C122" s="7">
        <v>69.513847339999998</v>
      </c>
      <c r="D122" s="7">
        <f t="shared" si="5"/>
        <v>69.59345437226429</v>
      </c>
      <c r="E122" s="7">
        <f t="shared" si="3"/>
        <v>-7.9607032264291888E-2</v>
      </c>
      <c r="F122" s="7">
        <f t="shared" si="4"/>
        <v>6.3372795859280096E-3</v>
      </c>
    </row>
    <row r="123" spans="1:6">
      <c r="A123" s="8">
        <v>122</v>
      </c>
      <c r="B123" s="6">
        <v>43952</v>
      </c>
      <c r="C123" s="7">
        <v>69.162331589999994</v>
      </c>
      <c r="D123" s="7">
        <f t="shared" si="5"/>
        <v>69.709375917688945</v>
      </c>
      <c r="E123" s="7">
        <f t="shared" si="3"/>
        <v>-0.54704432768895117</v>
      </c>
      <c r="F123" s="7">
        <f t="shared" si="4"/>
        <v>0.29925749645665661</v>
      </c>
    </row>
    <row r="124" spans="1:6">
      <c r="A124" s="8">
        <v>123</v>
      </c>
      <c r="B124" s="6">
        <v>43953</v>
      </c>
      <c r="C124" s="7">
        <v>69.827170240000001</v>
      </c>
      <c r="D124" s="7">
        <f t="shared" si="5"/>
        <v>68.653206943276032</v>
      </c>
      <c r="E124" s="7">
        <f t="shared" si="3"/>
        <v>1.1739632967239686</v>
      </c>
      <c r="F124" s="7">
        <f t="shared" si="4"/>
        <v>1.3781898220550088</v>
      </c>
    </row>
    <row r="125" spans="1:6">
      <c r="A125" s="8">
        <v>124</v>
      </c>
      <c r="B125" s="6">
        <v>43954</v>
      </c>
      <c r="C125" s="7">
        <v>69.762112909999999</v>
      </c>
      <c r="D125" s="7">
        <f t="shared" si="5"/>
        <v>70.043210978998331</v>
      </c>
      <c r="E125" s="7">
        <f t="shared" si="3"/>
        <v>-0.28109806899833245</v>
      </c>
      <c r="F125" s="7">
        <f t="shared" si="4"/>
        <v>7.9016124394591269E-2</v>
      </c>
    </row>
    <row r="126" spans="1:6">
      <c r="A126" s="8">
        <v>125</v>
      </c>
      <c r="B126" s="6">
        <v>43955</v>
      </c>
      <c r="C126" s="7">
        <v>68.30728062</v>
      </c>
      <c r="D126" s="7">
        <f t="shared" si="5"/>
        <v>69.238629940558553</v>
      </c>
      <c r="E126" s="7">
        <f t="shared" si="3"/>
        <v>-0.93134932055855302</v>
      </c>
      <c r="F126" s="7">
        <f t="shared" si="4"/>
        <v>0.86741155690487837</v>
      </c>
    </row>
    <row r="127" spans="1:6">
      <c r="A127" s="8">
        <v>126</v>
      </c>
      <c r="B127" s="6">
        <v>43956</v>
      </c>
      <c r="C127" s="7">
        <v>68.168553560000007</v>
      </c>
      <c r="D127" s="7">
        <f t="shared" si="5"/>
        <v>68.480648683512825</v>
      </c>
      <c r="E127" s="7">
        <f t="shared" si="3"/>
        <v>-0.31209512351281887</v>
      </c>
      <c r="F127" s="7">
        <f t="shared" si="4"/>
        <v>9.7403366120481671E-2</v>
      </c>
    </row>
    <row r="128" spans="1:6">
      <c r="A128" s="8">
        <v>127</v>
      </c>
      <c r="B128" s="6">
        <v>43957</v>
      </c>
      <c r="C128" s="7">
        <v>68.476158909999995</v>
      </c>
      <c r="D128" s="7">
        <f t="shared" si="5"/>
        <v>67.69213404412271</v>
      </c>
      <c r="E128" s="7">
        <f t="shared" si="3"/>
        <v>0.78402486587728504</v>
      </c>
      <c r="F128" s="7">
        <f t="shared" si="4"/>
        <v>0.61469499031389474</v>
      </c>
    </row>
    <row r="129" spans="1:6">
      <c r="A129" s="8">
        <v>128</v>
      </c>
      <c r="B129" s="6">
        <v>43958</v>
      </c>
      <c r="C129" s="7">
        <v>70.878448660000004</v>
      </c>
      <c r="D129" s="7">
        <f t="shared" si="5"/>
        <v>68.655062530425425</v>
      </c>
      <c r="E129" s="7">
        <f t="shared" si="3"/>
        <v>2.2233861295745783</v>
      </c>
      <c r="F129" s="7">
        <f t="shared" si="4"/>
        <v>4.9434458811846236</v>
      </c>
    </row>
    <row r="130" spans="1:6">
      <c r="A130" s="8">
        <v>129</v>
      </c>
      <c r="B130" s="6">
        <v>43959</v>
      </c>
      <c r="C130" s="7">
        <v>71.796895570000004</v>
      </c>
      <c r="D130" s="7">
        <f t="shared" si="5"/>
        <v>70.460828809688238</v>
      </c>
      <c r="E130" s="7">
        <f t="shared" si="3"/>
        <v>1.3360667603117662</v>
      </c>
      <c r="F130" s="7">
        <f t="shared" si="4"/>
        <v>1.7850743880099784</v>
      </c>
    </row>
    <row r="131" spans="1:6">
      <c r="A131" s="8">
        <v>130</v>
      </c>
      <c r="B131" s="6">
        <v>43960</v>
      </c>
      <c r="C131" s="7">
        <v>71.401862120000004</v>
      </c>
      <c r="D131" s="7">
        <f t="shared" si="5"/>
        <v>71.921268319644952</v>
      </c>
      <c r="E131" s="7">
        <f t="shared" si="3"/>
        <v>-0.51940619964494772</v>
      </c>
      <c r="F131" s="7">
        <f t="shared" si="4"/>
        <v>0.26978280022960727</v>
      </c>
    </row>
    <row r="132" spans="1:6">
      <c r="A132" s="8">
        <v>131</v>
      </c>
      <c r="B132" s="6">
        <v>43961</v>
      </c>
      <c r="C132" s="7">
        <v>69.796690290000001</v>
      </c>
      <c r="D132" s="7">
        <f t="shared" si="5"/>
        <v>70.951999882402291</v>
      </c>
      <c r="E132" s="7">
        <f t="shared" ref="E132:E195" si="6">C132-D132</f>
        <v>-1.1553095924022898</v>
      </c>
      <c r="F132" s="7">
        <f t="shared" ref="F132:F195" si="7">E132^2</f>
        <v>1.334740254296745</v>
      </c>
    </row>
    <row r="133" spans="1:6">
      <c r="A133" s="8">
        <v>132</v>
      </c>
      <c r="B133" s="6">
        <v>43962</v>
      </c>
      <c r="C133" s="7">
        <v>68.641663989999998</v>
      </c>
      <c r="D133" s="7">
        <f t="shared" ref="D133:D196" si="8">0.03559*C132+0.96*C131+0+0.99*E132</f>
        <v>69.886095346142838</v>
      </c>
      <c r="E133" s="7">
        <f t="shared" si="6"/>
        <v>-1.2444313561428402</v>
      </c>
      <c r="F133" s="7">
        <f t="shared" si="7"/>
        <v>1.5486094001515083</v>
      </c>
    </row>
    <row r="134" spans="1:6">
      <c r="A134" s="8">
        <v>133</v>
      </c>
      <c r="B134" s="6">
        <v>43963</v>
      </c>
      <c r="C134" s="7">
        <v>68.738473709999994</v>
      </c>
      <c r="D134" s="7">
        <f t="shared" si="8"/>
        <v>68.21579245722269</v>
      </c>
      <c r="E134" s="7">
        <f t="shared" si="6"/>
        <v>0.52268125277730348</v>
      </c>
      <c r="F134" s="7">
        <f t="shared" si="7"/>
        <v>0.27319569200485144</v>
      </c>
    </row>
    <row r="135" spans="1:6">
      <c r="A135" s="8">
        <v>134</v>
      </c>
      <c r="B135" s="6">
        <v>43964</v>
      </c>
      <c r="C135" s="7">
        <v>68.598704920000003</v>
      </c>
      <c r="D135" s="7">
        <f t="shared" si="8"/>
        <v>68.859854149988436</v>
      </c>
      <c r="E135" s="7">
        <f t="shared" si="6"/>
        <v>-0.26114922998843326</v>
      </c>
      <c r="F135" s="7">
        <f t="shared" si="7"/>
        <v>6.8198920323551612E-2</v>
      </c>
    </row>
    <row r="136" spans="1:6">
      <c r="A136" s="8">
        <v>135</v>
      </c>
      <c r="B136" s="6">
        <v>43965</v>
      </c>
      <c r="C136" s="7">
        <v>72.034881229999996</v>
      </c>
      <c r="D136" s="7">
        <f t="shared" si="8"/>
        <v>68.171824932014232</v>
      </c>
      <c r="E136" s="7">
        <f t="shared" si="6"/>
        <v>3.8630562979857643</v>
      </c>
      <c r="F136" s="7">
        <f t="shared" si="7"/>
        <v>14.923203961407479</v>
      </c>
    </row>
    <row r="137" spans="1:6">
      <c r="A137" s="8">
        <v>136</v>
      </c>
      <c r="B137" s="6">
        <v>43966</v>
      </c>
      <c r="C137" s="7">
        <v>69.39599561</v>
      </c>
      <c r="D137" s="7">
        <f t="shared" si="8"/>
        <v>72.242903881181604</v>
      </c>
      <c r="E137" s="7">
        <f t="shared" si="6"/>
        <v>-2.8469082711816043</v>
      </c>
      <c r="F137" s="7">
        <f t="shared" si="7"/>
        <v>8.1048867045222313</v>
      </c>
    </row>
    <row r="138" spans="1:6">
      <c r="A138" s="8">
        <v>137</v>
      </c>
      <c r="B138" s="6">
        <v>43967</v>
      </c>
      <c r="C138" s="7">
        <v>69.591141530000002</v>
      </c>
      <c r="D138" s="7">
        <f t="shared" si="8"/>
        <v>68.804850276090121</v>
      </c>
      <c r="E138" s="7">
        <f t="shared" si="6"/>
        <v>0.78629125390988008</v>
      </c>
      <c r="F138" s="7">
        <f t="shared" si="7"/>
        <v>0.61825393597517153</v>
      </c>
    </row>
    <row r="139" spans="1:6">
      <c r="A139" s="8">
        <v>138</v>
      </c>
      <c r="B139" s="6">
        <v>43968</v>
      </c>
      <c r="C139" s="7">
        <v>68.651333940000001</v>
      </c>
      <c r="D139" s="7">
        <f t="shared" si="8"/>
        <v>69.875332854023469</v>
      </c>
      <c r="E139" s="7">
        <f t="shared" si="6"/>
        <v>-1.2239989140234684</v>
      </c>
      <c r="F139" s="7">
        <f t="shared" si="7"/>
        <v>1.49817334153063</v>
      </c>
    </row>
    <row r="140" spans="1:6">
      <c r="A140" s="8">
        <v>139</v>
      </c>
      <c r="B140" s="6">
        <v>43969</v>
      </c>
      <c r="C140" s="7">
        <v>69.209114409999998</v>
      </c>
      <c r="D140" s="7">
        <f t="shared" si="8"/>
        <v>68.039037918841373</v>
      </c>
      <c r="E140" s="7">
        <f t="shared" si="6"/>
        <v>1.1700764911586248</v>
      </c>
      <c r="F140" s="7">
        <f t="shared" si="7"/>
        <v>1.3690789951620794</v>
      </c>
    </row>
    <row r="141" spans="1:6">
      <c r="A141" s="8">
        <v>140</v>
      </c>
      <c r="B141" s="6">
        <v>43970</v>
      </c>
      <c r="C141" s="7">
        <v>68.942066519999997</v>
      </c>
      <c r="D141" s="7">
        <f t="shared" si="8"/>
        <v>69.526808690498939</v>
      </c>
      <c r="E141" s="7">
        <f t="shared" si="6"/>
        <v>-0.5847421704989415</v>
      </c>
      <c r="F141" s="7">
        <f t="shared" si="7"/>
        <v>0.34192340595981319</v>
      </c>
    </row>
    <row r="142" spans="1:6">
      <c r="A142" s="8">
        <v>141</v>
      </c>
      <c r="B142" s="6">
        <v>43971</v>
      </c>
      <c r="C142" s="7">
        <v>68.42487663</v>
      </c>
      <c r="D142" s="7">
        <f t="shared" si="8"/>
        <v>68.315503232252837</v>
      </c>
      <c r="E142" s="7">
        <f t="shared" si="6"/>
        <v>0.10937339774716293</v>
      </c>
      <c r="F142" s="7">
        <f t="shared" si="7"/>
        <v>1.1962540134759104E-2</v>
      </c>
    </row>
    <row r="143" spans="1:6">
      <c r="A143" s="8">
        <v>142</v>
      </c>
      <c r="B143" s="6">
        <v>43972</v>
      </c>
      <c r="C143" s="7">
        <v>68.232109719999997</v>
      </c>
      <c r="D143" s="7">
        <f t="shared" si="8"/>
        <v>68.727904882231385</v>
      </c>
      <c r="E143" s="7">
        <f t="shared" si="6"/>
        <v>-0.49579516223138853</v>
      </c>
      <c r="F143" s="7">
        <f t="shared" si="7"/>
        <v>0.24581284289204888</v>
      </c>
    </row>
    <row r="144" spans="1:6">
      <c r="A144" s="8">
        <v>143</v>
      </c>
      <c r="B144" s="6">
        <v>43973</v>
      </c>
      <c r="C144" s="7">
        <v>71.166788999999994</v>
      </c>
      <c r="D144" s="7">
        <f t="shared" si="8"/>
        <v>67.625425139125724</v>
      </c>
      <c r="E144" s="7">
        <f t="shared" si="6"/>
        <v>3.5413638608742701</v>
      </c>
      <c r="F144" s="7">
        <f t="shared" si="7"/>
        <v>12.541257995106317</v>
      </c>
    </row>
    <row r="145" spans="1:6">
      <c r="A145" s="8">
        <v>144</v>
      </c>
      <c r="B145" s="6">
        <v>43974</v>
      </c>
      <c r="C145" s="7">
        <v>71.097452059999995</v>
      </c>
      <c r="D145" s="7">
        <f t="shared" si="8"/>
        <v>71.541601573975527</v>
      </c>
      <c r="E145" s="7">
        <f t="shared" si="6"/>
        <v>-0.44414951397553182</v>
      </c>
      <c r="F145" s="7">
        <f t="shared" si="7"/>
        <v>0.19726879076470114</v>
      </c>
    </row>
    <row r="146" spans="1:6">
      <c r="A146" s="8">
        <v>145</v>
      </c>
      <c r="B146" s="6">
        <v>43975</v>
      </c>
      <c r="C146" s="7">
        <v>69.542732340000001</v>
      </c>
      <c r="D146" s="7">
        <f t="shared" si="8"/>
        <v>70.410767739979619</v>
      </c>
      <c r="E146" s="7">
        <f t="shared" si="6"/>
        <v>-0.86803539997961821</v>
      </c>
      <c r="F146" s="7">
        <f t="shared" si="7"/>
        <v>0.7534854556177758</v>
      </c>
    </row>
    <row r="147" spans="1:6">
      <c r="A147" s="8">
        <v>146</v>
      </c>
      <c r="B147" s="6">
        <v>43976</v>
      </c>
      <c r="C147" s="7">
        <v>69.95219075</v>
      </c>
      <c r="D147" s="7">
        <f t="shared" si="8"/>
        <v>69.86922477560077</v>
      </c>
      <c r="E147" s="7">
        <f t="shared" si="6"/>
        <v>8.2965974399229481E-2</v>
      </c>
      <c r="F147" s="7">
        <f t="shared" si="7"/>
        <v>6.8833529080136015E-3</v>
      </c>
    </row>
    <row r="148" spans="1:6">
      <c r="A148" s="8">
        <v>147</v>
      </c>
      <c r="B148" s="6">
        <v>43977</v>
      </c>
      <c r="C148" s="7">
        <v>70.118844060000001</v>
      </c>
      <c r="D148" s="7">
        <f t="shared" si="8"/>
        <v>69.332757829847736</v>
      </c>
      <c r="E148" s="7">
        <f t="shared" si="6"/>
        <v>0.78608623015226442</v>
      </c>
      <c r="F148" s="7">
        <f t="shared" si="7"/>
        <v>0.61793156123499882</v>
      </c>
    </row>
    <row r="149" spans="1:6">
      <c r="A149" s="8">
        <v>148</v>
      </c>
      <c r="B149" s="6">
        <v>43978</v>
      </c>
      <c r="C149" s="7">
        <v>70.805682970000007</v>
      </c>
      <c r="D149" s="7">
        <f t="shared" si="8"/>
        <v>70.427858147946139</v>
      </c>
      <c r="E149" s="7">
        <f t="shared" si="6"/>
        <v>0.37782482205386714</v>
      </c>
      <c r="F149" s="7">
        <f t="shared" si="7"/>
        <v>0.14275159616003635</v>
      </c>
    </row>
    <row r="150" spans="1:6">
      <c r="A150" s="8">
        <v>149</v>
      </c>
      <c r="B150" s="6">
        <v>43979</v>
      </c>
      <c r="C150" s="7">
        <v>68.623499910000007</v>
      </c>
      <c r="D150" s="7">
        <f t="shared" si="8"/>
        <v>70.208111128335631</v>
      </c>
      <c r="E150" s="7">
        <f t="shared" si="6"/>
        <v>-1.584611218335624</v>
      </c>
      <c r="F150" s="7">
        <f t="shared" si="7"/>
        <v>2.5109927132751109</v>
      </c>
    </row>
    <row r="151" spans="1:6">
      <c r="A151" s="8">
        <v>150</v>
      </c>
      <c r="B151" s="6">
        <v>43980</v>
      </c>
      <c r="C151" s="7">
        <v>69.235998960000003</v>
      </c>
      <c r="D151" s="7">
        <f t="shared" si="8"/>
        <v>68.847000906844627</v>
      </c>
      <c r="E151" s="7">
        <f t="shared" si="6"/>
        <v>0.38899805315537606</v>
      </c>
      <c r="F151" s="7">
        <f t="shared" si="7"/>
        <v>0.15131948535867276</v>
      </c>
    </row>
    <row r="152" spans="1:6">
      <c r="A152" s="8">
        <v>151</v>
      </c>
      <c r="B152" s="6">
        <v>43981</v>
      </c>
      <c r="C152" s="7">
        <v>70.727244240000005</v>
      </c>
      <c r="D152" s="7">
        <f t="shared" si="8"/>
        <v>68.727777189210215</v>
      </c>
      <c r="E152" s="7">
        <f t="shared" si="6"/>
        <v>1.9994670507897894</v>
      </c>
      <c r="F152" s="7">
        <f t="shared" si="7"/>
        <v>3.997868487194018</v>
      </c>
    </row>
    <row r="153" spans="1:6">
      <c r="A153" s="8">
        <v>152</v>
      </c>
      <c r="B153" s="6">
        <v>43982</v>
      </c>
      <c r="C153" s="7">
        <v>69.003948570000006</v>
      </c>
      <c r="D153" s="7">
        <f t="shared" si="8"/>
        <v>70.963214004383488</v>
      </c>
      <c r="E153" s="7">
        <f t="shared" si="6"/>
        <v>-1.9592654343834823</v>
      </c>
      <c r="F153" s="7">
        <f t="shared" si="7"/>
        <v>3.8387210423698956</v>
      </c>
    </row>
    <row r="154" spans="1:6">
      <c r="A154" s="8">
        <v>153</v>
      </c>
      <c r="B154" s="6">
        <v>43983</v>
      </c>
      <c r="C154" s="7">
        <v>69.632391150000004</v>
      </c>
      <c r="D154" s="7">
        <f t="shared" si="8"/>
        <v>68.414332219966653</v>
      </c>
      <c r="E154" s="7">
        <f t="shared" si="6"/>
        <v>1.2180589300333509</v>
      </c>
      <c r="F154" s="7">
        <f t="shared" si="7"/>
        <v>1.4836675570339914</v>
      </c>
    </row>
    <row r="155" spans="1:6">
      <c r="A155" s="8">
        <v>154</v>
      </c>
      <c r="B155" s="6">
        <v>43984</v>
      </c>
      <c r="C155" s="7">
        <v>71.77443169</v>
      </c>
      <c r="D155" s="7">
        <f t="shared" si="8"/>
        <v>69.927885768961517</v>
      </c>
      <c r="E155" s="7">
        <f t="shared" si="6"/>
        <v>1.8465459210384836</v>
      </c>
      <c r="F155" s="7">
        <f t="shared" si="7"/>
        <v>3.4097318385038617</v>
      </c>
    </row>
    <row r="156" spans="1:6">
      <c r="A156" s="8">
        <v>155</v>
      </c>
      <c r="B156" s="6">
        <v>43985</v>
      </c>
      <c r="C156" s="7">
        <v>71.160083970000002</v>
      </c>
      <c r="D156" s="7">
        <f t="shared" si="8"/>
        <v>71.229627989675194</v>
      </c>
      <c r="E156" s="7">
        <f t="shared" si="6"/>
        <v>-6.9544019675191748E-2</v>
      </c>
      <c r="F156" s="7">
        <f t="shared" si="7"/>
        <v>4.8363706725834572E-3</v>
      </c>
    </row>
    <row r="157" spans="1:6">
      <c r="A157" s="8">
        <v>156</v>
      </c>
      <c r="B157" s="6">
        <v>43986</v>
      </c>
      <c r="C157" s="7">
        <v>70.985126809999997</v>
      </c>
      <c r="D157" s="7">
        <f t="shared" si="8"/>
        <v>71.367193231413864</v>
      </c>
      <c r="E157" s="7">
        <f t="shared" si="6"/>
        <v>-0.38206642141386737</v>
      </c>
      <c r="F157" s="7">
        <f t="shared" si="7"/>
        <v>0.14597475037199889</v>
      </c>
    </row>
    <row r="158" spans="1:6">
      <c r="A158" s="8">
        <v>157</v>
      </c>
      <c r="B158" s="6">
        <v>43987</v>
      </c>
      <c r="C158" s="7">
        <v>70.91362135</v>
      </c>
      <c r="D158" s="7">
        <f t="shared" si="8"/>
        <v>70.46179551716817</v>
      </c>
      <c r="E158" s="7">
        <f t="shared" si="6"/>
        <v>0.45182583283182964</v>
      </c>
      <c r="F158" s="7">
        <f t="shared" si="7"/>
        <v>0.20414658321417647</v>
      </c>
    </row>
    <row r="159" spans="1:6">
      <c r="A159" s="8">
        <v>158</v>
      </c>
      <c r="B159" s="6">
        <v>43988</v>
      </c>
      <c r="C159" s="7">
        <v>69.545129070000002</v>
      </c>
      <c r="D159" s="7">
        <f t="shared" si="8"/>
        <v>71.116845095950012</v>
      </c>
      <c r="E159" s="7">
        <f t="shared" si="6"/>
        <v>-1.5717160259500105</v>
      </c>
      <c r="F159" s="7">
        <f t="shared" si="7"/>
        <v>2.4702912662280938</v>
      </c>
    </row>
    <row r="160" spans="1:6">
      <c r="A160" s="8">
        <v>159</v>
      </c>
      <c r="B160" s="6">
        <v>43989</v>
      </c>
      <c r="C160" s="7">
        <v>69.492757769999997</v>
      </c>
      <c r="D160" s="7">
        <f t="shared" si="8"/>
        <v>68.996188773910788</v>
      </c>
      <c r="E160" s="7">
        <f t="shared" si="6"/>
        <v>0.49656899608920924</v>
      </c>
      <c r="F160" s="7">
        <f t="shared" si="7"/>
        <v>0.24658076787704511</v>
      </c>
    </row>
    <row r="161" spans="1:6">
      <c r="A161" s="8">
        <v>160</v>
      </c>
      <c r="B161" s="6">
        <v>43990</v>
      </c>
      <c r="C161" s="7">
        <v>68.265121230000005</v>
      </c>
      <c r="D161" s="7">
        <f t="shared" si="8"/>
        <v>69.728174462362617</v>
      </c>
      <c r="E161" s="7">
        <f t="shared" si="6"/>
        <v>-1.4630532323626113</v>
      </c>
      <c r="F161" s="7">
        <f t="shared" si="7"/>
        <v>2.1405247607266853</v>
      </c>
    </row>
    <row r="162" spans="1:6">
      <c r="A162" s="8">
        <v>161</v>
      </c>
      <c r="B162" s="6">
        <v>43991</v>
      </c>
      <c r="C162" s="7">
        <v>68.659942369999996</v>
      </c>
      <c r="D162" s="7">
        <f t="shared" si="8"/>
        <v>67.694180423736711</v>
      </c>
      <c r="E162" s="7">
        <f t="shared" si="6"/>
        <v>0.96576194626328515</v>
      </c>
      <c r="F162" s="7">
        <f t="shared" si="7"/>
        <v>0.93269613685024844</v>
      </c>
    </row>
    <row r="163" spans="1:6">
      <c r="A163" s="8">
        <v>162</v>
      </c>
      <c r="B163" s="6">
        <v>43992</v>
      </c>
      <c r="C163" s="7">
        <v>69.982117029999998</v>
      </c>
      <c r="D163" s="7">
        <f t="shared" si="8"/>
        <v>68.93422805654896</v>
      </c>
      <c r="E163" s="7">
        <f t="shared" si="6"/>
        <v>1.0478889734510375</v>
      </c>
      <c r="F163" s="7">
        <f t="shared" si="7"/>
        <v>1.0980713006802691</v>
      </c>
    </row>
    <row r="164" spans="1:6">
      <c r="A164" s="8">
        <v>163</v>
      </c>
      <c r="B164" s="6">
        <v>43993</v>
      </c>
      <c r="C164" s="7">
        <v>71.114388000000005</v>
      </c>
      <c r="D164" s="7">
        <f t="shared" si="8"/>
        <v>69.441618304014227</v>
      </c>
      <c r="E164" s="7">
        <f t="shared" si="6"/>
        <v>1.6727696959857781</v>
      </c>
      <c r="F164" s="7">
        <f t="shared" si="7"/>
        <v>2.7981584558083523</v>
      </c>
    </row>
    <row r="165" spans="1:6">
      <c r="A165" s="8">
        <v>164</v>
      </c>
      <c r="B165" s="6">
        <v>43994</v>
      </c>
      <c r="C165" s="7">
        <v>70.698609820000001</v>
      </c>
      <c r="D165" s="7">
        <f t="shared" si="8"/>
        <v>71.3698354167459</v>
      </c>
      <c r="E165" s="7">
        <f t="shared" si="6"/>
        <v>-0.67122559674589866</v>
      </c>
      <c r="F165" s="7">
        <f t="shared" si="7"/>
        <v>0.45054380172688774</v>
      </c>
    </row>
    <row r="166" spans="1:6">
      <c r="A166" s="8">
        <v>165</v>
      </c>
      <c r="B166" s="6">
        <v>43995</v>
      </c>
      <c r="C166" s="7">
        <v>70.804833220000006</v>
      </c>
      <c r="D166" s="7">
        <f t="shared" si="8"/>
        <v>70.121462662715359</v>
      </c>
      <c r="E166" s="7">
        <f t="shared" si="6"/>
        <v>0.68337055728464691</v>
      </c>
      <c r="F166" s="7">
        <f t="shared" si="7"/>
        <v>0.46699531856352888</v>
      </c>
    </row>
    <row r="167" spans="1:6">
      <c r="A167" s="8">
        <v>166</v>
      </c>
      <c r="B167" s="6">
        <v>43996</v>
      </c>
      <c r="C167" s="7">
        <v>69.170410770000004</v>
      </c>
      <c r="D167" s="7">
        <f t="shared" si="8"/>
        <v>71.067146293211593</v>
      </c>
      <c r="E167" s="7">
        <f t="shared" si="6"/>
        <v>-1.8967355232115892</v>
      </c>
      <c r="F167" s="7">
        <f t="shared" si="7"/>
        <v>3.5976056450127412</v>
      </c>
    </row>
    <row r="168" spans="1:6">
      <c r="A168" s="8">
        <v>167</v>
      </c>
      <c r="B168" s="6">
        <v>43997</v>
      </c>
      <c r="C168" s="7">
        <v>69.159099220000002</v>
      </c>
      <c r="D168" s="7">
        <f t="shared" si="8"/>
        <v>68.556646642524839</v>
      </c>
      <c r="E168" s="7">
        <f t="shared" si="6"/>
        <v>0.60245257747516234</v>
      </c>
      <c r="F168" s="7">
        <f t="shared" si="7"/>
        <v>0.36294910810646647</v>
      </c>
    </row>
    <row r="169" spans="1:6">
      <c r="A169" s="8">
        <v>168</v>
      </c>
      <c r="B169" s="6">
        <v>43998</v>
      </c>
      <c r="C169" s="7">
        <v>69.763615689999995</v>
      </c>
      <c r="D169" s="7">
        <f t="shared" si="8"/>
        <v>69.461394732140207</v>
      </c>
      <c r="E169" s="7">
        <f t="shared" si="6"/>
        <v>0.30222095785978809</v>
      </c>
      <c r="F169" s="7">
        <f t="shared" si="7"/>
        <v>9.1337507369687806E-2</v>
      </c>
    </row>
    <row r="170" spans="1:6">
      <c r="A170" s="8">
        <v>169</v>
      </c>
      <c r="B170" s="6">
        <v>43999</v>
      </c>
      <c r="C170" s="7">
        <v>71.960030889999999</v>
      </c>
      <c r="D170" s="7">
        <f t="shared" si="8"/>
        <v>69.174821081888282</v>
      </c>
      <c r="E170" s="7">
        <f t="shared" si="6"/>
        <v>2.7852098081117163</v>
      </c>
      <c r="F170" s="7">
        <f t="shared" si="7"/>
        <v>7.757393675201703</v>
      </c>
    </row>
    <row r="171" spans="1:6">
      <c r="A171" s="8">
        <v>170</v>
      </c>
      <c r="B171" s="6">
        <v>44000</v>
      </c>
      <c r="C171" s="7">
        <v>71.03276717</v>
      </c>
      <c r="D171" s="7">
        <f t="shared" si="8"/>
        <v>72.291486271805695</v>
      </c>
      <c r="E171" s="7">
        <f t="shared" si="6"/>
        <v>-1.2587191018056956</v>
      </c>
      <c r="F171" s="7">
        <f t="shared" si="7"/>
        <v>1.5843737772505371</v>
      </c>
    </row>
    <row r="172" spans="1:6">
      <c r="A172" s="8">
        <v>171</v>
      </c>
      <c r="B172" s="6">
        <v>44001</v>
      </c>
      <c r="C172" s="7">
        <v>69.532634400000006</v>
      </c>
      <c r="D172" s="7">
        <f t="shared" si="8"/>
        <v>70.363553927192655</v>
      </c>
      <c r="E172" s="7">
        <f t="shared" si="6"/>
        <v>-0.83091952719264839</v>
      </c>
      <c r="F172" s="7">
        <f t="shared" si="7"/>
        <v>0.69042726067005433</v>
      </c>
    </row>
    <row r="173" spans="1:6">
      <c r="A173" s="8">
        <v>172</v>
      </c>
      <c r="B173" s="6">
        <v>44002</v>
      </c>
      <c r="C173" s="7">
        <v>69.431101709999993</v>
      </c>
      <c r="D173" s="7">
        <f t="shared" si="8"/>
        <v>69.843512609575271</v>
      </c>
      <c r="E173" s="7">
        <f t="shared" si="6"/>
        <v>-0.41241089957527777</v>
      </c>
      <c r="F173" s="7">
        <f t="shared" si="7"/>
        <v>0.17008275008848983</v>
      </c>
    </row>
    <row r="174" spans="1:6">
      <c r="A174" s="8">
        <v>173</v>
      </c>
      <c r="B174" s="6">
        <v>44003</v>
      </c>
      <c r="C174" s="7">
        <v>68.879757260000005</v>
      </c>
      <c r="D174" s="7">
        <f t="shared" si="8"/>
        <v>68.814095143279374</v>
      </c>
      <c r="E174" s="7">
        <f t="shared" si="6"/>
        <v>6.5662116720631047E-2</v>
      </c>
      <c r="F174" s="7">
        <f t="shared" si="7"/>
        <v>4.3115135722337754E-3</v>
      </c>
    </row>
    <row r="175" spans="1:6">
      <c r="A175" s="8">
        <v>174</v>
      </c>
      <c r="B175" s="6">
        <v>44004</v>
      </c>
      <c r="C175" s="7">
        <v>69.691277690000007</v>
      </c>
      <c r="D175" s="7">
        <f t="shared" si="8"/>
        <v>69.170293698036801</v>
      </c>
      <c r="E175" s="7">
        <f t="shared" si="6"/>
        <v>0.52098399196320599</v>
      </c>
      <c r="F175" s="7">
        <f t="shared" si="7"/>
        <v>0.2714243198819179</v>
      </c>
    </row>
    <row r="176" spans="1:6">
      <c r="A176" s="8">
        <v>175</v>
      </c>
      <c r="B176" s="6">
        <v>44005</v>
      </c>
      <c r="C176" s="7">
        <v>69.785784219999996</v>
      </c>
      <c r="D176" s="7">
        <f t="shared" si="8"/>
        <v>69.120653694630676</v>
      </c>
      <c r="E176" s="7">
        <f t="shared" si="6"/>
        <v>0.66513052536932094</v>
      </c>
      <c r="F176" s="7">
        <f t="shared" si="7"/>
        <v>0.44239861577806888</v>
      </c>
    </row>
    <row r="177" spans="1:6">
      <c r="A177" s="8">
        <v>176</v>
      </c>
      <c r="B177" s="6">
        <v>44006</v>
      </c>
      <c r="C177" s="7">
        <v>68.172759679999999</v>
      </c>
      <c r="D177" s="7">
        <f t="shared" si="8"/>
        <v>70.045781862905429</v>
      </c>
      <c r="E177" s="7">
        <f t="shared" si="6"/>
        <v>-1.8730221829054301</v>
      </c>
      <c r="F177" s="7">
        <f t="shared" si="7"/>
        <v>3.5082120976558224</v>
      </c>
    </row>
    <row r="178" spans="1:6">
      <c r="A178" s="8">
        <v>177</v>
      </c>
      <c r="B178" s="6">
        <v>44007</v>
      </c>
      <c r="C178" s="7">
        <v>68.909333989999993</v>
      </c>
      <c r="D178" s="7">
        <f t="shared" si="8"/>
        <v>67.566329407134816</v>
      </c>
      <c r="E178" s="7">
        <f t="shared" si="6"/>
        <v>1.3430045828651771</v>
      </c>
      <c r="F178" s="7">
        <f t="shared" si="7"/>
        <v>1.8036613095968683</v>
      </c>
    </row>
    <row r="179" spans="1:6">
      <c r="A179" s="8">
        <v>178</v>
      </c>
      <c r="B179" s="6">
        <v>44008</v>
      </c>
      <c r="C179" s="7">
        <v>69.576229400000003</v>
      </c>
      <c r="D179" s="7">
        <f t="shared" si="8"/>
        <v>69.227907026540606</v>
      </c>
      <c r="E179" s="7">
        <f t="shared" si="6"/>
        <v>0.34832237345939632</v>
      </c>
      <c r="F179" s="7">
        <f t="shared" si="7"/>
        <v>0.12132847585238717</v>
      </c>
    </row>
    <row r="180" spans="1:6">
      <c r="A180" s="8">
        <v>179</v>
      </c>
      <c r="B180" s="6">
        <v>44009</v>
      </c>
      <c r="C180" s="7">
        <v>68.440514140000005</v>
      </c>
      <c r="D180" s="7">
        <f t="shared" si="8"/>
        <v>68.974017784470789</v>
      </c>
      <c r="E180" s="7">
        <f t="shared" si="6"/>
        <v>-0.53350364447078391</v>
      </c>
      <c r="F180" s="7">
        <f t="shared" si="7"/>
        <v>0.28462613866360859</v>
      </c>
    </row>
    <row r="181" spans="1:6">
      <c r="A181" s="8">
        <v>180</v>
      </c>
      <c r="B181" s="6">
        <v>44010</v>
      </c>
      <c r="C181" s="7">
        <v>69.124305509999999</v>
      </c>
      <c r="D181" s="7">
        <f t="shared" si="8"/>
        <v>68.700809514216516</v>
      </c>
      <c r="E181" s="7">
        <f t="shared" si="6"/>
        <v>0.42349599578348318</v>
      </c>
      <c r="F181" s="7">
        <f t="shared" si="7"/>
        <v>0.17934885844464402</v>
      </c>
    </row>
    <row r="182" spans="1:6">
      <c r="A182" s="8">
        <v>181</v>
      </c>
      <c r="B182" s="6">
        <v>44011</v>
      </c>
      <c r="C182" s="7">
        <v>71.43178503</v>
      </c>
      <c r="D182" s="7">
        <f t="shared" si="8"/>
        <v>68.58228864332655</v>
      </c>
      <c r="E182" s="7">
        <f t="shared" si="6"/>
        <v>2.8494963866734508</v>
      </c>
      <c r="F182" s="7">
        <f t="shared" si="7"/>
        <v>8.1196296576650528</v>
      </c>
    </row>
    <row r="183" spans="1:6">
      <c r="A183" s="8">
        <v>182</v>
      </c>
      <c r="B183" s="6">
        <v>44012</v>
      </c>
      <c r="C183" s="7">
        <v>71.643083110000006</v>
      </c>
      <c r="D183" s="7">
        <f t="shared" si="8"/>
        <v>71.722591941624415</v>
      </c>
      <c r="E183" s="7">
        <f t="shared" si="6"/>
        <v>-7.9508831624409027E-2</v>
      </c>
      <c r="F183" s="7">
        <f t="shared" si="7"/>
        <v>6.3216543062786252E-3</v>
      </c>
    </row>
    <row r="184" spans="1:6">
      <c r="A184" s="8">
        <v>183</v>
      </c>
      <c r="B184" s="6">
        <v>44013</v>
      </c>
      <c r="C184" s="7">
        <v>71.168241550000005</v>
      </c>
      <c r="D184" s="7">
        <f t="shared" si="8"/>
        <v>71.045577213376717</v>
      </c>
      <c r="E184" s="7">
        <f t="shared" si="6"/>
        <v>0.1226643366232878</v>
      </c>
      <c r="F184" s="7">
        <f t="shared" si="7"/>
        <v>1.5046539479231263E-2</v>
      </c>
    </row>
    <row r="185" spans="1:6">
      <c r="A185" s="8">
        <v>184</v>
      </c>
      <c r="B185" s="6">
        <v>44014</v>
      </c>
      <c r="C185" s="7">
        <v>68.866523270000002</v>
      </c>
      <c r="D185" s="7">
        <f t="shared" si="8"/>
        <v>71.431675195621551</v>
      </c>
      <c r="E185" s="7">
        <f t="shared" si="6"/>
        <v>-2.5651519256215494</v>
      </c>
      <c r="F185" s="7">
        <f t="shared" si="7"/>
        <v>6.5800044015199424</v>
      </c>
    </row>
    <row r="186" spans="1:6">
      <c r="A186" s="8">
        <v>185</v>
      </c>
      <c r="B186" s="6">
        <v>44015</v>
      </c>
      <c r="C186" s="7">
        <v>69.446339870000003</v>
      </c>
      <c r="D186" s="7">
        <f t="shared" si="8"/>
        <v>68.232971044813965</v>
      </c>
      <c r="E186" s="7">
        <f t="shared" si="6"/>
        <v>1.2133688251860377</v>
      </c>
      <c r="F186" s="7">
        <f t="shared" si="7"/>
        <v>1.4722639059333453</v>
      </c>
    </row>
    <row r="187" spans="1:6">
      <c r="A187" s="8">
        <v>186</v>
      </c>
      <c r="B187" s="6">
        <v>44016</v>
      </c>
      <c r="C187" s="7">
        <v>70.156296519999998</v>
      </c>
      <c r="D187" s="7">
        <f t="shared" si="8"/>
        <v>69.784692712107471</v>
      </c>
      <c r="E187" s="7">
        <f t="shared" si="6"/>
        <v>0.37160380789252656</v>
      </c>
      <c r="F187" s="7">
        <f t="shared" si="7"/>
        <v>0.13808939004022577</v>
      </c>
    </row>
    <row r="188" spans="1:6">
      <c r="A188" s="8">
        <v>187</v>
      </c>
      <c r="B188" s="6">
        <v>44017</v>
      </c>
      <c r="C188" s="7">
        <v>70.788921189999996</v>
      </c>
      <c r="D188" s="7">
        <f t="shared" si="8"/>
        <v>69.533236638160403</v>
      </c>
      <c r="E188" s="7">
        <f t="shared" si="6"/>
        <v>1.2556845518395932</v>
      </c>
      <c r="F188" s="7">
        <f t="shared" si="7"/>
        <v>1.5767436937285999</v>
      </c>
    </row>
    <row r="189" spans="1:6">
      <c r="A189" s="8">
        <v>188</v>
      </c>
      <c r="B189" s="6">
        <v>44018</v>
      </c>
      <c r="C189" s="7">
        <v>70.849092380000002</v>
      </c>
      <c r="D189" s="7">
        <f t="shared" si="8"/>
        <v>71.112550070673294</v>
      </c>
      <c r="E189" s="7">
        <f t="shared" si="6"/>
        <v>-0.26345769067329172</v>
      </c>
      <c r="F189" s="7">
        <f t="shared" si="7"/>
        <v>6.9409954774903859E-2</v>
      </c>
    </row>
    <row r="190" spans="1:6">
      <c r="A190" s="8">
        <v>189</v>
      </c>
      <c r="B190" s="6">
        <v>44019</v>
      </c>
      <c r="C190" s="7">
        <v>68.912998349999995</v>
      </c>
      <c r="D190" s="7">
        <f t="shared" si="8"/>
        <v>70.218060426437631</v>
      </c>
      <c r="E190" s="7">
        <f t="shared" si="6"/>
        <v>-1.3050620764376362</v>
      </c>
      <c r="F190" s="7">
        <f t="shared" si="7"/>
        <v>1.7031870233557145</v>
      </c>
    </row>
    <row r="191" spans="1:6">
      <c r="A191" s="8">
        <v>190</v>
      </c>
      <c r="B191" s="6">
        <v>44020</v>
      </c>
      <c r="C191" s="7">
        <v>69.051670479999999</v>
      </c>
      <c r="D191" s="7">
        <f t="shared" si="8"/>
        <v>69.175730840403247</v>
      </c>
      <c r="E191" s="7">
        <f t="shared" si="6"/>
        <v>-0.12406036040324864</v>
      </c>
      <c r="F191" s="7">
        <f t="shared" si="7"/>
        <v>1.5390973023383943E-2</v>
      </c>
    </row>
    <row r="192" spans="1:6">
      <c r="A192" s="8">
        <v>191</v>
      </c>
      <c r="B192" s="6">
        <v>44021</v>
      </c>
      <c r="C192" s="7">
        <v>68.99923192</v>
      </c>
      <c r="D192" s="7">
        <f t="shared" si="8"/>
        <v>68.491207611583988</v>
      </c>
      <c r="E192" s="7">
        <f t="shared" si="6"/>
        <v>0.50802430841601165</v>
      </c>
      <c r="F192" s="7">
        <f t="shared" si="7"/>
        <v>0.25808869794156691</v>
      </c>
    </row>
    <row r="193" spans="1:6">
      <c r="A193" s="8">
        <v>192</v>
      </c>
      <c r="B193" s="6">
        <v>44022</v>
      </c>
      <c r="C193" s="7">
        <v>69.633953919999996</v>
      </c>
      <c r="D193" s="7">
        <f t="shared" si="8"/>
        <v>69.248230390164636</v>
      </c>
      <c r="E193" s="7">
        <f t="shared" si="6"/>
        <v>0.38572352983536007</v>
      </c>
      <c r="F193" s="7">
        <f t="shared" si="7"/>
        <v>0.14878264146864992</v>
      </c>
    </row>
    <row r="194" spans="1:6">
      <c r="A194" s="8">
        <v>193</v>
      </c>
      <c r="B194" s="6">
        <v>44023</v>
      </c>
      <c r="C194" s="7">
        <v>69.183201850000003</v>
      </c>
      <c r="D194" s="7">
        <f t="shared" si="8"/>
        <v>69.099401357749798</v>
      </c>
      <c r="E194" s="7">
        <f t="shared" si="6"/>
        <v>8.3800492250205139E-2</v>
      </c>
      <c r="F194" s="7">
        <f t="shared" si="7"/>
        <v>7.0225225013766917E-3</v>
      </c>
    </row>
    <row r="195" spans="1:6">
      <c r="A195" s="8">
        <v>194</v>
      </c>
      <c r="B195" s="6">
        <v>44024</v>
      </c>
      <c r="C195" s="7">
        <v>70.932205300000007</v>
      </c>
      <c r="D195" s="7">
        <f t="shared" si="8"/>
        <v>69.393788404369204</v>
      </c>
      <c r="E195" s="7">
        <f t="shared" si="6"/>
        <v>1.5384168956308031</v>
      </c>
      <c r="F195" s="7">
        <f t="shared" si="7"/>
        <v>2.3667265447623174</v>
      </c>
    </row>
    <row r="196" spans="1:6">
      <c r="A196" s="8">
        <v>195</v>
      </c>
      <c r="B196" s="6">
        <v>44025</v>
      </c>
      <c r="C196" s="7">
        <v>69.945390239999995</v>
      </c>
      <c r="D196" s="7">
        <f t="shared" si="8"/>
        <v>70.463383689301494</v>
      </c>
      <c r="E196" s="7">
        <f t="shared" ref="E196:E259" si="9">C196-D196</f>
        <v>-0.51799344930149971</v>
      </c>
      <c r="F196" s="7">
        <f t="shared" ref="F196:F259" si="10">E196^2</f>
        <v>0.26831721351926535</v>
      </c>
    </row>
    <row r="197" spans="1:6">
      <c r="A197" s="8">
        <v>196</v>
      </c>
      <c r="B197" s="6">
        <v>44026</v>
      </c>
      <c r="C197" s="7">
        <v>68.788630400000002</v>
      </c>
      <c r="D197" s="7">
        <f t="shared" ref="D197:D260" si="11">0.03559*C196+0.96*C195+0+0.99*E196</f>
        <v>70.071460011833111</v>
      </c>
      <c r="E197" s="7">
        <f t="shared" si="9"/>
        <v>-1.2828296118331082</v>
      </c>
      <c r="F197" s="7">
        <f t="shared" si="10"/>
        <v>1.645651812995883</v>
      </c>
    </row>
    <row r="198" spans="1:6">
      <c r="A198" s="8">
        <v>197</v>
      </c>
      <c r="B198" s="6">
        <v>44027</v>
      </c>
      <c r="C198" s="7">
        <v>69.36414757</v>
      </c>
      <c r="D198" s="7">
        <f t="shared" si="11"/>
        <v>68.325760670621207</v>
      </c>
      <c r="E198" s="7">
        <f t="shared" si="9"/>
        <v>1.0383868993787928</v>
      </c>
      <c r="F198" s="7">
        <f t="shared" si="10"/>
        <v>1.0782473528015031</v>
      </c>
    </row>
    <row r="199" spans="1:6">
      <c r="A199" s="8">
        <v>198</v>
      </c>
      <c r="B199" s="6">
        <v>44028</v>
      </c>
      <c r="C199" s="7">
        <v>68.904800359999996</v>
      </c>
      <c r="D199" s="7">
        <f t="shared" si="11"/>
        <v>69.533758226401318</v>
      </c>
      <c r="E199" s="7">
        <f t="shared" si="9"/>
        <v>-0.62895786640132201</v>
      </c>
      <c r="F199" s="7">
        <f t="shared" si="10"/>
        <v>0.39558799770810321</v>
      </c>
    </row>
    <row r="200" spans="1:6">
      <c r="A200" s="8">
        <v>199</v>
      </c>
      <c r="B200" s="6">
        <v>44029</v>
      </c>
      <c r="C200" s="7">
        <v>69.108972640000005</v>
      </c>
      <c r="D200" s="7">
        <f t="shared" si="11"/>
        <v>68.419235224275084</v>
      </c>
      <c r="E200" s="7">
        <f t="shared" si="9"/>
        <v>0.68973741572492031</v>
      </c>
      <c r="F200" s="7">
        <f t="shared" si="10"/>
        <v>0.47573770265089155</v>
      </c>
    </row>
    <row r="201" spans="1:6">
      <c r="A201" s="8">
        <v>200</v>
      </c>
      <c r="B201" s="6">
        <v>44030</v>
      </c>
      <c r="C201" s="7">
        <v>68.963978879999999</v>
      </c>
      <c r="D201" s="7">
        <f t="shared" si="11"/>
        <v>69.291036723425265</v>
      </c>
      <c r="E201" s="7">
        <f t="shared" si="9"/>
        <v>-0.32705784342526556</v>
      </c>
      <c r="F201" s="7">
        <f t="shared" si="10"/>
        <v>0.10696683294598552</v>
      </c>
    </row>
    <row r="202" spans="1:6">
      <c r="A202" s="8">
        <v>201</v>
      </c>
      <c r="B202" s="6">
        <v>44031</v>
      </c>
      <c r="C202" s="7">
        <v>71.056867600000004</v>
      </c>
      <c r="D202" s="7">
        <f t="shared" si="11"/>
        <v>68.475254477748194</v>
      </c>
      <c r="E202" s="7">
        <f t="shared" si="9"/>
        <v>2.5816131222518095</v>
      </c>
      <c r="F202" s="7">
        <f t="shared" si="10"/>
        <v>6.6647263129827365</v>
      </c>
    </row>
    <row r="203" spans="1:6">
      <c r="A203" s="8">
        <v>202</v>
      </c>
      <c r="B203" s="6">
        <v>44032</v>
      </c>
      <c r="C203" s="7">
        <v>71.730730719999997</v>
      </c>
      <c r="D203" s="7">
        <f t="shared" si="11"/>
        <v>71.290130633713289</v>
      </c>
      <c r="E203" s="7">
        <f t="shared" si="9"/>
        <v>0.44060008628670744</v>
      </c>
      <c r="F203" s="7">
        <f t="shared" si="10"/>
        <v>0.19412843603585403</v>
      </c>
    </row>
    <row r="204" spans="1:6">
      <c r="A204" s="8">
        <v>203</v>
      </c>
      <c r="B204" s="6">
        <v>44033</v>
      </c>
      <c r="C204" s="7">
        <v>70.663908640000002</v>
      </c>
      <c r="D204" s="7">
        <f t="shared" si="11"/>
        <v>71.203683687748637</v>
      </c>
      <c r="E204" s="7">
        <f t="shared" si="9"/>
        <v>-0.53977504774863405</v>
      </c>
      <c r="F204" s="7">
        <f t="shared" si="10"/>
        <v>0.29135710217204019</v>
      </c>
    </row>
    <row r="205" spans="1:6">
      <c r="A205" s="8">
        <v>204</v>
      </c>
      <c r="B205" s="6">
        <v>44034</v>
      </c>
      <c r="C205" s="7">
        <v>69.487908910000002</v>
      </c>
      <c r="D205" s="7">
        <f t="shared" si="11"/>
        <v>70.842052702426443</v>
      </c>
      <c r="E205" s="7">
        <f t="shared" si="9"/>
        <v>-1.3541437924264415</v>
      </c>
      <c r="F205" s="7">
        <f t="shared" si="10"/>
        <v>1.8337054105670654</v>
      </c>
    </row>
    <row r="206" spans="1:6">
      <c r="A206" s="8">
        <v>205</v>
      </c>
      <c r="B206" s="6">
        <v>44035</v>
      </c>
      <c r="C206" s="7">
        <v>70.434490370000006</v>
      </c>
      <c r="D206" s="7">
        <f t="shared" si="11"/>
        <v>68.969824618004722</v>
      </c>
      <c r="E206" s="7">
        <f t="shared" si="9"/>
        <v>1.4646657519952839</v>
      </c>
      <c r="F206" s="7">
        <f t="shared" si="10"/>
        <v>2.1452457650679104</v>
      </c>
    </row>
    <row r="207" spans="1:6">
      <c r="A207" s="8">
        <v>206</v>
      </c>
      <c r="B207" s="6">
        <v>44036</v>
      </c>
      <c r="C207" s="7">
        <v>70.819525630000001</v>
      </c>
      <c r="D207" s="7">
        <f t="shared" si="11"/>
        <v>70.665175160343622</v>
      </c>
      <c r="E207" s="7">
        <f t="shared" si="9"/>
        <v>0.15435046965637866</v>
      </c>
      <c r="F207" s="7">
        <f t="shared" si="10"/>
        <v>2.3824067483144671E-2</v>
      </c>
    </row>
    <row r="208" spans="1:6">
      <c r="A208" s="8">
        <v>207</v>
      </c>
      <c r="B208" s="6">
        <v>44037</v>
      </c>
      <c r="C208" s="7">
        <v>70.859420670000006</v>
      </c>
      <c r="D208" s="7">
        <f t="shared" si="11"/>
        <v>70.290384637331513</v>
      </c>
      <c r="E208" s="7">
        <f t="shared" si="9"/>
        <v>0.56903603266849245</v>
      </c>
      <c r="F208" s="7">
        <f t="shared" si="10"/>
        <v>0.3238020064750976</v>
      </c>
    </row>
    <row r="209" spans="1:6">
      <c r="A209" s="8">
        <v>208</v>
      </c>
      <c r="B209" s="6">
        <v>44038</v>
      </c>
      <c r="C209" s="7">
        <v>70.243602480000007</v>
      </c>
      <c r="D209" s="7">
        <f t="shared" si="11"/>
        <v>71.071977058787112</v>
      </c>
      <c r="E209" s="7">
        <f t="shared" si="9"/>
        <v>-0.82837457878710552</v>
      </c>
      <c r="F209" s="7">
        <f t="shared" si="10"/>
        <v>0.68620444278071446</v>
      </c>
    </row>
    <row r="210" spans="1:6">
      <c r="A210" s="8">
        <v>209</v>
      </c>
      <c r="B210" s="6">
        <v>44039</v>
      </c>
      <c r="C210" s="7">
        <v>68.200105260000001</v>
      </c>
      <c r="D210" s="7">
        <f t="shared" si="11"/>
        <v>69.704922822463971</v>
      </c>
      <c r="E210" s="7">
        <f t="shared" si="9"/>
        <v>-1.5048175624639697</v>
      </c>
      <c r="F210" s="7">
        <f t="shared" si="10"/>
        <v>2.2644758963000031</v>
      </c>
    </row>
    <row r="211" spans="1:6">
      <c r="A211" s="8">
        <v>210</v>
      </c>
      <c r="B211" s="6">
        <v>44040</v>
      </c>
      <c r="C211" s="7">
        <v>68.734516429999999</v>
      </c>
      <c r="D211" s="7">
        <f t="shared" si="11"/>
        <v>68.371330740164069</v>
      </c>
      <c r="E211" s="7">
        <f t="shared" si="9"/>
        <v>0.36318568983593025</v>
      </c>
      <c r="F211" s="7">
        <f t="shared" si="10"/>
        <v>0.13190384530160051</v>
      </c>
    </row>
    <row r="212" spans="1:6">
      <c r="A212" s="8">
        <v>211</v>
      </c>
      <c r="B212" s="6">
        <v>44041</v>
      </c>
      <c r="C212" s="7">
        <v>69.24818836</v>
      </c>
      <c r="D212" s="7">
        <f t="shared" si="11"/>
        <v>68.277916322281257</v>
      </c>
      <c r="E212" s="7">
        <f t="shared" si="9"/>
        <v>0.97027203771874326</v>
      </c>
      <c r="F212" s="7">
        <f t="shared" si="10"/>
        <v>0.9414278271788824</v>
      </c>
    </row>
    <row r="213" spans="1:6">
      <c r="A213" s="8">
        <v>212</v>
      </c>
      <c r="B213" s="6">
        <v>44042</v>
      </c>
      <c r="C213" s="7">
        <v>70.573613359999996</v>
      </c>
      <c r="D213" s="7">
        <f t="shared" si="11"/>
        <v>69.410248113873948</v>
      </c>
      <c r="E213" s="7">
        <f t="shared" si="9"/>
        <v>1.1633652461260482</v>
      </c>
      <c r="F213" s="7">
        <f t="shared" si="10"/>
        <v>1.3534186958939207</v>
      </c>
    </row>
    <row r="214" spans="1:6">
      <c r="A214" s="8">
        <v>213</v>
      </c>
      <c r="B214" s="6">
        <v>44043</v>
      </c>
      <c r="C214" s="7">
        <v>71.581553940000006</v>
      </c>
      <c r="D214" s="7">
        <f t="shared" si="11"/>
        <v>70.141707318747194</v>
      </c>
      <c r="E214" s="7">
        <f t="shared" si="9"/>
        <v>1.439846621252812</v>
      </c>
      <c r="F214" s="7">
        <f t="shared" si="10"/>
        <v>2.0731582927331389</v>
      </c>
    </row>
    <row r="215" spans="1:6">
      <c r="A215" s="8">
        <v>214</v>
      </c>
      <c r="B215" s="6">
        <v>44044</v>
      </c>
      <c r="C215" s="7">
        <v>70.118897309999994</v>
      </c>
      <c r="D215" s="7">
        <f t="shared" si="11"/>
        <v>71.723704485364877</v>
      </c>
      <c r="E215" s="7">
        <f t="shared" si="9"/>
        <v>-1.6048071753648827</v>
      </c>
      <c r="F215" s="7">
        <f t="shared" si="10"/>
        <v>2.5754060701026136</v>
      </c>
    </row>
    <row r="216" spans="1:6">
      <c r="A216" s="8">
        <v>215</v>
      </c>
      <c r="B216" s="6">
        <v>44045</v>
      </c>
      <c r="C216" s="7">
        <v>70.065257439999996</v>
      </c>
      <c r="D216" s="7">
        <f t="shared" si="11"/>
        <v>69.625064234051663</v>
      </c>
      <c r="E216" s="7">
        <f t="shared" si="9"/>
        <v>0.44019320594833289</v>
      </c>
      <c r="F216" s="7">
        <f t="shared" si="10"/>
        <v>0.19377005856307142</v>
      </c>
    </row>
    <row r="217" spans="1:6">
      <c r="A217" s="8">
        <v>216</v>
      </c>
      <c r="B217" s="6">
        <v>44046</v>
      </c>
      <c r="C217" s="7">
        <v>71.739364269999996</v>
      </c>
      <c r="D217" s="7">
        <f t="shared" si="11"/>
        <v>70.243555203778456</v>
      </c>
      <c r="E217" s="7">
        <f t="shared" si="9"/>
        <v>1.4958090662215398</v>
      </c>
      <c r="F217" s="7">
        <f t="shared" si="10"/>
        <v>2.2374447625905547</v>
      </c>
    </row>
    <row r="218" spans="1:6">
      <c r="A218" s="8">
        <v>217</v>
      </c>
      <c r="B218" s="6">
        <v>44047</v>
      </c>
      <c r="C218" s="7">
        <v>70.356328610000006</v>
      </c>
      <c r="D218" s="7">
        <f t="shared" si="11"/>
        <v>71.296702092328616</v>
      </c>
      <c r="E218" s="7">
        <f t="shared" si="9"/>
        <v>-0.94037348232861007</v>
      </c>
      <c r="F218" s="7">
        <f t="shared" si="10"/>
        <v>0.88430228626683671</v>
      </c>
    </row>
    <row r="219" spans="1:6">
      <c r="A219" s="8">
        <v>218</v>
      </c>
      <c r="B219" s="6">
        <v>44048</v>
      </c>
      <c r="C219" s="7">
        <v>71.373909620000006</v>
      </c>
      <c r="D219" s="7">
        <f t="shared" si="11"/>
        <v>70.442801686924568</v>
      </c>
      <c r="E219" s="7">
        <f t="shared" si="9"/>
        <v>0.93110793307543815</v>
      </c>
      <c r="F219" s="7">
        <f t="shared" si="10"/>
        <v>0.86696198303601457</v>
      </c>
    </row>
    <row r="220" spans="1:6">
      <c r="A220" s="8">
        <v>219</v>
      </c>
      <c r="B220" s="6">
        <v>44049</v>
      </c>
      <c r="C220" s="7">
        <v>69.864861349999998</v>
      </c>
      <c r="D220" s="7">
        <f t="shared" si="11"/>
        <v>71.004069762720491</v>
      </c>
      <c r="E220" s="7">
        <f t="shared" si="9"/>
        <v>-1.1392084127204924</v>
      </c>
      <c r="F220" s="7">
        <f t="shared" si="10"/>
        <v>1.2977958076131439</v>
      </c>
    </row>
    <row r="221" spans="1:6">
      <c r="A221" s="8">
        <v>220</v>
      </c>
      <c r="B221" s="6">
        <v>44050</v>
      </c>
      <c r="C221" s="7">
        <v>69.529703679999997</v>
      </c>
      <c r="D221" s="7">
        <f t="shared" si="11"/>
        <v>69.877627322053215</v>
      </c>
      <c r="E221" s="7">
        <f t="shared" si="9"/>
        <v>-0.34792364205321746</v>
      </c>
      <c r="F221" s="7">
        <f t="shared" si="10"/>
        <v>0.12105086069957539</v>
      </c>
    </row>
    <row r="222" spans="1:6">
      <c r="A222" s="8">
        <v>221</v>
      </c>
      <c r="B222" s="6">
        <v>44051</v>
      </c>
      <c r="C222" s="7">
        <v>69.747218189999998</v>
      </c>
      <c r="D222" s="7">
        <f t="shared" si="11"/>
        <v>69.200384644338513</v>
      </c>
      <c r="E222" s="7">
        <f t="shared" si="9"/>
        <v>0.54683354566148523</v>
      </c>
      <c r="F222" s="7">
        <f t="shared" si="10"/>
        <v>0.29902692666071168</v>
      </c>
    </row>
    <row r="223" spans="1:6">
      <c r="A223" s="8">
        <v>222</v>
      </c>
      <c r="B223" s="6">
        <v>44052</v>
      </c>
      <c r="C223" s="7">
        <v>70.000918709999993</v>
      </c>
      <c r="D223" s="7">
        <f t="shared" si="11"/>
        <v>69.77218423838697</v>
      </c>
      <c r="E223" s="7">
        <f t="shared" si="9"/>
        <v>0.22873447161302352</v>
      </c>
      <c r="F223" s="7">
        <f t="shared" si="10"/>
        <v>5.2319458504089061E-2</v>
      </c>
    </row>
    <row r="224" spans="1:6">
      <c r="A224" s="8">
        <v>223</v>
      </c>
      <c r="B224" s="6">
        <v>44053</v>
      </c>
      <c r="C224" s="7">
        <v>69.238707730000002</v>
      </c>
      <c r="D224" s="7">
        <f t="shared" si="11"/>
        <v>69.675109286185801</v>
      </c>
      <c r="E224" s="7">
        <f t="shared" si="9"/>
        <v>-0.43640155618579968</v>
      </c>
      <c r="F224" s="7">
        <f t="shared" si="10"/>
        <v>0.19044631824138766</v>
      </c>
    </row>
    <row r="225" spans="1:6">
      <c r="A225" s="8">
        <v>224</v>
      </c>
      <c r="B225" s="6">
        <v>44054</v>
      </c>
      <c r="C225" s="7">
        <v>68.95176592</v>
      </c>
      <c r="D225" s="7">
        <f t="shared" si="11"/>
        <v>69.233050029086755</v>
      </c>
      <c r="E225" s="7">
        <f t="shared" si="9"/>
        <v>-0.28128410908675505</v>
      </c>
      <c r="F225" s="7">
        <f t="shared" si="10"/>
        <v>7.9120750024729514E-2</v>
      </c>
    </row>
    <row r="226" spans="1:6">
      <c r="A226" s="8">
        <v>225</v>
      </c>
      <c r="B226" s="6">
        <v>44055</v>
      </c>
      <c r="C226" s="7">
        <v>68.931726949999998</v>
      </c>
      <c r="D226" s="7">
        <f t="shared" si="11"/>
        <v>68.644681501896912</v>
      </c>
      <c r="E226" s="7">
        <f t="shared" si="9"/>
        <v>0.28704544810308619</v>
      </c>
      <c r="F226" s="7">
        <f t="shared" si="10"/>
        <v>8.2395089276701541E-2</v>
      </c>
    </row>
    <row r="227" spans="1:6">
      <c r="A227" s="8">
        <v>226</v>
      </c>
      <c r="B227" s="6">
        <v>44056</v>
      </c>
      <c r="C227" s="7">
        <v>70.000468990000002</v>
      </c>
      <c r="D227" s="7">
        <f t="shared" si="11"/>
        <v>68.931150438972566</v>
      </c>
      <c r="E227" s="7">
        <f t="shared" si="9"/>
        <v>1.0693185510274361</v>
      </c>
      <c r="F227" s="7">
        <f t="shared" si="10"/>
        <v>1.1434421635714156</v>
      </c>
    </row>
    <row r="228" spans="1:6">
      <c r="A228" s="8">
        <v>227</v>
      </c>
      <c r="B228" s="6">
        <v>44057</v>
      </c>
      <c r="C228" s="7">
        <v>70.650798420000001</v>
      </c>
      <c r="D228" s="7">
        <f t="shared" si="11"/>
        <v>69.72439992887125</v>
      </c>
      <c r="E228" s="7">
        <f t="shared" si="9"/>
        <v>0.92639849112875083</v>
      </c>
      <c r="F228" s="7">
        <f t="shared" si="10"/>
        <v>0.85821416436562625</v>
      </c>
    </row>
    <row r="229" spans="1:6">
      <c r="A229" s="8">
        <v>228</v>
      </c>
      <c r="B229" s="6">
        <v>44058</v>
      </c>
      <c r="C229" s="7">
        <v>72.616282690000006</v>
      </c>
      <c r="D229" s="7">
        <f t="shared" si="11"/>
        <v>70.632046652385256</v>
      </c>
      <c r="E229" s="7">
        <f t="shared" si="9"/>
        <v>1.9842360376147496</v>
      </c>
      <c r="F229" s="7">
        <f t="shared" si="10"/>
        <v>3.9371926529690824</v>
      </c>
    </row>
    <row r="230" spans="1:6">
      <c r="A230" s="8">
        <v>229</v>
      </c>
      <c r="B230" s="6">
        <v>44059</v>
      </c>
      <c r="C230" s="7">
        <v>72.745519090000002</v>
      </c>
      <c r="D230" s="7">
        <f t="shared" si="11"/>
        <v>72.373573661375701</v>
      </c>
      <c r="E230" s="7">
        <f t="shared" si="9"/>
        <v>0.37194542862430069</v>
      </c>
      <c r="F230" s="7">
        <f t="shared" si="10"/>
        <v>0.13834340187451477</v>
      </c>
    </row>
    <row r="231" spans="1:6">
      <c r="A231" s="8">
        <v>230</v>
      </c>
      <c r="B231" s="6">
        <v>44060</v>
      </c>
      <c r="C231" s="7">
        <v>70.352583409999994</v>
      </c>
      <c r="D231" s="7">
        <f t="shared" si="11"/>
        <v>72.668870381151166</v>
      </c>
      <c r="E231" s="7">
        <f t="shared" si="9"/>
        <v>-2.3162869711511718</v>
      </c>
      <c r="F231" s="7">
        <f t="shared" si="10"/>
        <v>5.3651853327246695</v>
      </c>
    </row>
    <row r="232" spans="1:6">
      <c r="A232" s="8">
        <v>231</v>
      </c>
      <c r="B232" s="6">
        <v>44061</v>
      </c>
      <c r="C232" s="7">
        <v>69.712763929999994</v>
      </c>
      <c r="D232" s="7">
        <f t="shared" si="11"/>
        <v>70.046422668522226</v>
      </c>
      <c r="E232" s="7">
        <f t="shared" si="9"/>
        <v>-0.3336587385222316</v>
      </c>
      <c r="F232" s="7">
        <f t="shared" si="10"/>
        <v>0.11132815379224692</v>
      </c>
    </row>
    <row r="233" spans="1:6">
      <c r="A233" s="8">
        <v>232</v>
      </c>
      <c r="B233" s="6">
        <v>44062</v>
      </c>
      <c r="C233" s="7">
        <v>70.719001320000004</v>
      </c>
      <c r="D233" s="7">
        <f t="shared" si="11"/>
        <v>69.689235190731694</v>
      </c>
      <c r="E233" s="7">
        <f t="shared" si="9"/>
        <v>1.0297661292683102</v>
      </c>
      <c r="F233" s="7">
        <f t="shared" si="10"/>
        <v>1.0604182809882383</v>
      </c>
    </row>
    <row r="234" spans="1:6">
      <c r="A234" s="8">
        <v>233</v>
      </c>
      <c r="B234" s="6">
        <v>44063</v>
      </c>
      <c r="C234" s="7">
        <v>70.548173439999999</v>
      </c>
      <c r="D234" s="7">
        <f t="shared" si="11"/>
        <v>70.460611097754423</v>
      </c>
      <c r="E234" s="7">
        <f t="shared" si="9"/>
        <v>8.7562342245576019E-2</v>
      </c>
      <c r="F234" s="7">
        <f t="shared" si="10"/>
        <v>7.6671637795313868E-3</v>
      </c>
    </row>
    <row r="235" spans="1:6">
      <c r="A235" s="8">
        <v>234</v>
      </c>
      <c r="B235" s="6">
        <v>44064</v>
      </c>
      <c r="C235" s="7">
        <v>70.043562089999995</v>
      </c>
      <c r="D235" s="7">
        <f t="shared" si="11"/>
        <v>70.48773747875272</v>
      </c>
      <c r="E235" s="7">
        <f t="shared" si="9"/>
        <v>-0.44417538875272555</v>
      </c>
      <c r="F235" s="7">
        <f t="shared" si="10"/>
        <v>0.19729177597363487</v>
      </c>
    </row>
    <row r="236" spans="1:6">
      <c r="A236" s="8">
        <v>235</v>
      </c>
      <c r="B236" s="6">
        <v>44065</v>
      </c>
      <c r="C236" s="7">
        <v>69.913260159999993</v>
      </c>
      <c r="D236" s="7">
        <f t="shared" si="11"/>
        <v>69.779363242317913</v>
      </c>
      <c r="E236" s="7">
        <f t="shared" si="9"/>
        <v>0.13389691768207967</v>
      </c>
      <c r="F236" s="7">
        <f t="shared" si="10"/>
        <v>1.7928384564761621E-2</v>
      </c>
    </row>
    <row r="237" spans="1:6">
      <c r="A237" s="8">
        <v>236</v>
      </c>
      <c r="B237" s="6">
        <v>44066</v>
      </c>
      <c r="C237" s="7">
        <v>70.802164099999999</v>
      </c>
      <c r="D237" s="7">
        <f t="shared" si="11"/>
        <v>69.862590483999654</v>
      </c>
      <c r="E237" s="7">
        <f t="shared" si="9"/>
        <v>0.93957361600034517</v>
      </c>
      <c r="F237" s="7">
        <f t="shared" si="10"/>
        <v>0.88279857988396404</v>
      </c>
    </row>
    <row r="238" spans="1:6">
      <c r="A238" s="8">
        <v>237</v>
      </c>
      <c r="B238" s="6">
        <v>44067</v>
      </c>
      <c r="C238" s="7">
        <v>69.658999890000004</v>
      </c>
      <c r="D238" s="7">
        <f t="shared" si="11"/>
        <v>70.566756653759342</v>
      </c>
      <c r="E238" s="7">
        <f t="shared" si="9"/>
        <v>-0.90775676375933756</v>
      </c>
      <c r="F238" s="7">
        <f t="shared" si="10"/>
        <v>0.82402234215082582</v>
      </c>
    </row>
    <row r="239" spans="1:6">
      <c r="A239" s="8">
        <v>238</v>
      </c>
      <c r="B239" s="6">
        <v>44068</v>
      </c>
      <c r="C239" s="7">
        <v>69.229081230000006</v>
      </c>
      <c r="D239" s="7">
        <f t="shared" si="11"/>
        <v>69.55056214596334</v>
      </c>
      <c r="E239" s="7">
        <f t="shared" si="9"/>
        <v>-0.32148091596333472</v>
      </c>
      <c r="F239" s="7">
        <f t="shared" si="10"/>
        <v>0.10334997932862468</v>
      </c>
    </row>
    <row r="240" spans="1:6">
      <c r="A240" s="8">
        <v>239</v>
      </c>
      <c r="B240" s="6">
        <v>44069</v>
      </c>
      <c r="C240" s="7">
        <v>70.110181920000002</v>
      </c>
      <c r="D240" s="7">
        <f t="shared" si="11"/>
        <v>69.018236788571997</v>
      </c>
      <c r="E240" s="7">
        <f t="shared" si="9"/>
        <v>1.0919451314280053</v>
      </c>
      <c r="F240" s="7">
        <f t="shared" si="10"/>
        <v>1.1923441700493238</v>
      </c>
    </row>
    <row r="241" spans="1:6">
      <c r="A241" s="8">
        <v>240</v>
      </c>
      <c r="B241" s="6">
        <v>44070</v>
      </c>
      <c r="C241" s="7">
        <v>70.608831850000001</v>
      </c>
      <c r="D241" s="7">
        <f t="shared" si="11"/>
        <v>70.03616503544653</v>
      </c>
      <c r="E241" s="7">
        <f t="shared" si="9"/>
        <v>0.57266681455347168</v>
      </c>
      <c r="F241" s="7">
        <f t="shared" si="10"/>
        <v>0.32794728049082034</v>
      </c>
    </row>
    <row r="242" spans="1:6">
      <c r="A242" s="8">
        <v>241</v>
      </c>
      <c r="B242" s="6">
        <v>44071</v>
      </c>
      <c r="C242" s="7">
        <v>70.571827299999995</v>
      </c>
      <c r="D242" s="7">
        <f t="shared" si="11"/>
        <v>70.385683115149419</v>
      </c>
      <c r="E242" s="7">
        <f t="shared" si="9"/>
        <v>0.18614418485057627</v>
      </c>
      <c r="F242" s="7">
        <f t="shared" si="10"/>
        <v>3.4649657553685508E-2</v>
      </c>
    </row>
    <row r="243" spans="1:6">
      <c r="A243" s="8">
        <v>242</v>
      </c>
      <c r="B243" s="6">
        <v>44072</v>
      </c>
      <c r="C243" s="7">
        <v>69.790645659999996</v>
      </c>
      <c r="D243" s="7">
        <f t="shared" si="11"/>
        <v>70.480412652609076</v>
      </c>
      <c r="E243" s="7">
        <f t="shared" si="9"/>
        <v>-0.68976699260907992</v>
      </c>
      <c r="F243" s="7">
        <f t="shared" si="10"/>
        <v>0.47577850409297451</v>
      </c>
    </row>
    <row r="244" spans="1:6">
      <c r="A244" s="8">
        <v>243</v>
      </c>
      <c r="B244" s="6">
        <v>44073</v>
      </c>
      <c r="C244" s="7">
        <v>70.675374989999995</v>
      </c>
      <c r="D244" s="7">
        <f t="shared" si="11"/>
        <v>69.549933964356399</v>
      </c>
      <c r="E244" s="7">
        <f t="shared" si="9"/>
        <v>1.125441025643596</v>
      </c>
      <c r="F244" s="7">
        <f t="shared" si="10"/>
        <v>1.2666175022017094</v>
      </c>
    </row>
    <row r="245" spans="1:6">
      <c r="A245" s="8">
        <v>244</v>
      </c>
      <c r="B245" s="6">
        <v>44074</v>
      </c>
      <c r="C245" s="7">
        <v>72.601899549999999</v>
      </c>
      <c r="D245" s="7">
        <f t="shared" si="11"/>
        <v>70.628543044881241</v>
      </c>
      <c r="E245" s="7">
        <f t="shared" si="9"/>
        <v>1.9733565051187583</v>
      </c>
      <c r="F245" s="7">
        <f t="shared" si="10"/>
        <v>3.8941358962945198</v>
      </c>
    </row>
    <row r="246" spans="1:6">
      <c r="A246" s="8">
        <v>245</v>
      </c>
      <c r="B246" s="6">
        <v>44075</v>
      </c>
      <c r="C246" s="7">
        <v>71.764942719999993</v>
      </c>
      <c r="D246" s="7">
        <f t="shared" si="11"/>
        <v>72.385884535452078</v>
      </c>
      <c r="E246" s="7">
        <f t="shared" si="9"/>
        <v>-0.62094181545208471</v>
      </c>
      <c r="F246" s="7">
        <f t="shared" si="10"/>
        <v>0.38556873817693083</v>
      </c>
    </row>
    <row r="247" spans="1:6">
      <c r="A247" s="8">
        <v>246</v>
      </c>
      <c r="B247" s="6">
        <v>44076</v>
      </c>
      <c r="C247" s="7">
        <v>70.085219069999994</v>
      </c>
      <c r="D247" s="7">
        <f t="shared" si="11"/>
        <v>71.637205482107234</v>
      </c>
      <c r="E247" s="7">
        <f t="shared" si="9"/>
        <v>-1.5519864121072402</v>
      </c>
      <c r="F247" s="7">
        <f t="shared" si="10"/>
        <v>2.4086618233655046</v>
      </c>
    </row>
    <row r="248" spans="1:6">
      <c r="A248" s="8">
        <v>247</v>
      </c>
      <c r="B248" s="6">
        <v>44077</v>
      </c>
      <c r="C248" s="7">
        <v>70.277388909999999</v>
      </c>
      <c r="D248" s="7">
        <f t="shared" si="11"/>
        <v>69.852211409915128</v>
      </c>
      <c r="E248" s="7">
        <f t="shared" si="9"/>
        <v>0.42517750008487099</v>
      </c>
      <c r="F248" s="7">
        <f t="shared" si="10"/>
        <v>0.18077590657842046</v>
      </c>
    </row>
    <row r="249" spans="1:6">
      <c r="A249" s="8">
        <v>248</v>
      </c>
      <c r="B249" s="6">
        <v>44078</v>
      </c>
      <c r="C249" s="7">
        <v>69.601734989999997</v>
      </c>
      <c r="D249" s="7">
        <f t="shared" si="11"/>
        <v>70.203908303590907</v>
      </c>
      <c r="E249" s="7">
        <f t="shared" si="9"/>
        <v>-0.6021733135909102</v>
      </c>
      <c r="F249" s="7">
        <f t="shared" si="10"/>
        <v>0.36261269960105669</v>
      </c>
    </row>
    <row r="250" spans="1:6">
      <c r="A250" s="8">
        <v>249</v>
      </c>
      <c r="B250" s="6">
        <v>44079</v>
      </c>
      <c r="C250" s="7">
        <v>68.928133979999998</v>
      </c>
      <c r="D250" s="7">
        <f t="shared" si="11"/>
        <v>69.347267521439093</v>
      </c>
      <c r="E250" s="7">
        <f t="shared" si="9"/>
        <v>-0.41913354143909487</v>
      </c>
      <c r="F250" s="7">
        <f t="shared" si="10"/>
        <v>0.17567292555927747</v>
      </c>
    </row>
    <row r="251" spans="1:6">
      <c r="A251" s="8">
        <v>250</v>
      </c>
      <c r="B251" s="6">
        <v>44080</v>
      </c>
      <c r="C251" s="7">
        <v>69.509168639999999</v>
      </c>
      <c r="D251" s="7">
        <f t="shared" si="11"/>
        <v>68.855875672723499</v>
      </c>
      <c r="E251" s="7">
        <f t="shared" si="9"/>
        <v>0.65329296727649933</v>
      </c>
      <c r="F251" s="7">
        <f t="shared" si="10"/>
        <v>0.42679170109293324</v>
      </c>
    </row>
    <row r="252" spans="1:6">
      <c r="A252" s="8">
        <v>251</v>
      </c>
      <c r="B252" s="6">
        <v>44081</v>
      </c>
      <c r="C252" s="7">
        <v>67.444264360000005</v>
      </c>
      <c r="D252" s="7">
        <f t="shared" si="11"/>
        <v>69.291599970301334</v>
      </c>
      <c r="E252" s="7">
        <f t="shared" si="9"/>
        <v>-1.8473356103013288</v>
      </c>
      <c r="F252" s="7">
        <f t="shared" si="10"/>
        <v>3.4126488570873827</v>
      </c>
    </row>
    <row r="253" spans="1:6">
      <c r="A253" s="8">
        <v>252</v>
      </c>
      <c r="B253" s="6">
        <v>44082</v>
      </c>
      <c r="C253" s="7">
        <v>67.459857659999997</v>
      </c>
      <c r="D253" s="7">
        <f t="shared" si="11"/>
        <v>67.300281008774078</v>
      </c>
      <c r="E253" s="7">
        <f t="shared" si="9"/>
        <v>0.15957665122591891</v>
      </c>
      <c r="F253" s="7">
        <f t="shared" si="10"/>
        <v>2.5464707616478566E-2</v>
      </c>
    </row>
    <row r="254" spans="1:6">
      <c r="A254" s="8">
        <v>253</v>
      </c>
      <c r="B254" s="6">
        <v>44083</v>
      </c>
      <c r="C254" s="7">
        <v>68.894673429999997</v>
      </c>
      <c r="D254" s="7">
        <f t="shared" si="11"/>
        <v>67.30537100443307</v>
      </c>
      <c r="E254" s="7">
        <f t="shared" si="9"/>
        <v>1.5893024255669275</v>
      </c>
      <c r="F254" s="7">
        <f t="shared" si="10"/>
        <v>2.5258821999129188</v>
      </c>
    </row>
    <row r="255" spans="1:6">
      <c r="A255" s="8">
        <v>254</v>
      </c>
      <c r="B255" s="6">
        <v>44084</v>
      </c>
      <c r="C255" s="7">
        <v>68.745457900000005</v>
      </c>
      <c r="D255" s="7">
        <f t="shared" si="11"/>
        <v>68.786834182284949</v>
      </c>
      <c r="E255" s="7">
        <f t="shared" si="9"/>
        <v>-4.13762822849435E-2</v>
      </c>
      <c r="F255" s="7">
        <f t="shared" si="10"/>
        <v>1.7119967357233292E-3</v>
      </c>
    </row>
    <row r="256" spans="1:6">
      <c r="A256" s="8">
        <v>255</v>
      </c>
      <c r="B256" s="6">
        <v>44085</v>
      </c>
      <c r="C256" s="7">
        <v>68.546229609999997</v>
      </c>
      <c r="D256" s="7">
        <f t="shared" si="11"/>
        <v>68.5445748199989</v>
      </c>
      <c r="E256" s="7">
        <f t="shared" si="9"/>
        <v>1.6547900010976946E-3</v>
      </c>
      <c r="F256" s="7">
        <f t="shared" si="10"/>
        <v>2.738329947732908E-6</v>
      </c>
    </row>
    <row r="257" spans="1:6">
      <c r="A257" s="8">
        <v>256</v>
      </c>
      <c r="B257" s="6">
        <v>44086</v>
      </c>
      <c r="C257" s="7">
        <v>69.067352060000005</v>
      </c>
      <c r="D257" s="7">
        <f t="shared" si="11"/>
        <v>68.436838137920986</v>
      </c>
      <c r="E257" s="7">
        <f t="shared" si="9"/>
        <v>0.63051392207901813</v>
      </c>
      <c r="F257" s="7">
        <f t="shared" si="10"/>
        <v>0.39754780593546613</v>
      </c>
    </row>
    <row r="258" spans="1:6">
      <c r="A258" s="8">
        <v>257</v>
      </c>
      <c r="B258" s="6">
        <v>44087</v>
      </c>
      <c r="C258" s="7">
        <v>68.233577060000002</v>
      </c>
      <c r="D258" s="7">
        <f t="shared" si="11"/>
        <v>68.886696268273639</v>
      </c>
      <c r="E258" s="7">
        <f t="shared" si="9"/>
        <v>-0.65311920827363679</v>
      </c>
      <c r="F258" s="7">
        <f t="shared" si="10"/>
        <v>0.42656470021598214</v>
      </c>
    </row>
    <row r="259" spans="1:6">
      <c r="A259" s="8">
        <v>258</v>
      </c>
      <c r="B259" s="6">
        <v>44088</v>
      </c>
      <c r="C259" s="7">
        <v>68.813868819999996</v>
      </c>
      <c r="D259" s="7">
        <f t="shared" si="11"/>
        <v>68.0865029689745</v>
      </c>
      <c r="E259" s="7">
        <f t="shared" si="9"/>
        <v>0.72736585102549611</v>
      </c>
      <c r="F259" s="7">
        <f t="shared" si="10"/>
        <v>0.52906108123804418</v>
      </c>
    </row>
    <row r="260" spans="1:6">
      <c r="A260" s="8">
        <v>259</v>
      </c>
      <c r="B260" s="6">
        <v>44089</v>
      </c>
      <c r="C260" s="7">
        <v>69.282978009999994</v>
      </c>
      <c r="D260" s="7">
        <f t="shared" si="11"/>
        <v>68.673411761419032</v>
      </c>
      <c r="E260" s="7">
        <f t="shared" ref="E260:E323" si="12">C260-D260</f>
        <v>0.6095662485809612</v>
      </c>
      <c r="F260" s="7">
        <f t="shared" ref="F260:F323" si="13">E260^2</f>
        <v>0.37157101140906618</v>
      </c>
    </row>
    <row r="261" spans="1:6">
      <c r="A261" s="8">
        <v>260</v>
      </c>
      <c r="B261" s="6">
        <v>44090</v>
      </c>
      <c r="C261" s="7">
        <v>69.951031369999995</v>
      </c>
      <c r="D261" s="7">
        <f t="shared" ref="D261:D324" si="14">0.03559*C260+0.96*C259+0+0.99*E260</f>
        <v>69.130565840671039</v>
      </c>
      <c r="E261" s="7">
        <f t="shared" si="12"/>
        <v>0.82046552932895622</v>
      </c>
      <c r="F261" s="7">
        <f t="shared" si="13"/>
        <v>0.67316368481704436</v>
      </c>
    </row>
    <row r="262" spans="1:6">
      <c r="A262" s="8">
        <v>261</v>
      </c>
      <c r="B262" s="6">
        <v>44091</v>
      </c>
      <c r="C262" s="7">
        <v>71.339909449999993</v>
      </c>
      <c r="D262" s="7">
        <f t="shared" si="14"/>
        <v>69.813476970093959</v>
      </c>
      <c r="E262" s="7">
        <f t="shared" si="12"/>
        <v>1.5264324799060347</v>
      </c>
      <c r="F262" s="7">
        <f t="shared" si="13"/>
        <v>2.329996115712087</v>
      </c>
    </row>
    <row r="263" spans="1:6">
      <c r="A263" s="8">
        <v>262</v>
      </c>
      <c r="B263" s="6">
        <v>44092</v>
      </c>
      <c r="C263" s="7">
        <v>70.991140669999993</v>
      </c>
      <c r="D263" s="7">
        <f t="shared" si="14"/>
        <v>71.203145647632468</v>
      </c>
      <c r="E263" s="7">
        <f t="shared" si="12"/>
        <v>-0.21200497763247483</v>
      </c>
      <c r="F263" s="7">
        <f t="shared" si="13"/>
        <v>4.4946110540946153E-2</v>
      </c>
    </row>
    <row r="264" spans="1:6">
      <c r="A264" s="8">
        <v>263</v>
      </c>
      <c r="B264" s="6">
        <v>44093</v>
      </c>
      <c r="C264" s="7">
        <v>70.213773590000002</v>
      </c>
      <c r="D264" s="7">
        <f t="shared" si="14"/>
        <v>70.80300284058913</v>
      </c>
      <c r="E264" s="7">
        <f t="shared" si="12"/>
        <v>-0.58922925058912767</v>
      </c>
      <c r="F264" s="7">
        <f t="shared" si="13"/>
        <v>0.34719110974982503</v>
      </c>
    </row>
    <row r="265" spans="1:6">
      <c r="A265" s="8">
        <v>264</v>
      </c>
      <c r="B265" s="6">
        <v>44094</v>
      </c>
      <c r="C265" s="7">
        <v>69.930376409999994</v>
      </c>
      <c r="D265" s="7">
        <f t="shared" si="14"/>
        <v>70.067066287184844</v>
      </c>
      <c r="E265" s="7">
        <f t="shared" si="12"/>
        <v>-0.13668987718484971</v>
      </c>
      <c r="F265" s="7">
        <f t="shared" si="13"/>
        <v>1.8684122524809298E-2</v>
      </c>
    </row>
    <row r="266" spans="1:6">
      <c r="A266" s="8">
        <v>265</v>
      </c>
      <c r="B266" s="6">
        <v>44095</v>
      </c>
      <c r="C266" s="7">
        <v>70.121486540000006</v>
      </c>
      <c r="D266" s="7">
        <f t="shared" si="14"/>
        <v>69.758721764418908</v>
      </c>
      <c r="E266" s="7">
        <f t="shared" si="12"/>
        <v>0.36276477558109832</v>
      </c>
      <c r="F266" s="7">
        <f t="shared" si="13"/>
        <v>0.13159828240240462</v>
      </c>
    </row>
    <row r="267" spans="1:6">
      <c r="A267" s="8">
        <v>266</v>
      </c>
      <c r="B267" s="6">
        <v>44096</v>
      </c>
      <c r="C267" s="7">
        <v>69.077040350000004</v>
      </c>
      <c r="D267" s="7">
        <f t="shared" si="14"/>
        <v>69.987922187383887</v>
      </c>
      <c r="E267" s="7">
        <f t="shared" si="12"/>
        <v>-0.91088183738388295</v>
      </c>
      <c r="F267" s="7">
        <f t="shared" si="13"/>
        <v>0.82970572167583856</v>
      </c>
    </row>
    <row r="268" spans="1:6">
      <c r="A268" s="8">
        <v>267</v>
      </c>
      <c r="B268" s="6">
        <v>44097</v>
      </c>
      <c r="C268" s="7">
        <v>69.295002920000002</v>
      </c>
      <c r="D268" s="7">
        <f t="shared" si="14"/>
        <v>68.873305925446459</v>
      </c>
      <c r="E268" s="7">
        <f t="shared" si="12"/>
        <v>0.42169699455354248</v>
      </c>
      <c r="F268" s="7">
        <f t="shared" si="13"/>
        <v>0.17782835521549042</v>
      </c>
    </row>
    <row r="269" spans="1:6">
      <c r="A269" s="8">
        <v>268</v>
      </c>
      <c r="B269" s="6">
        <v>44098</v>
      </c>
      <c r="C269" s="7">
        <v>70.162640890000006</v>
      </c>
      <c r="D269" s="7">
        <f t="shared" si="14"/>
        <v>69.197647914530819</v>
      </c>
      <c r="E269" s="7">
        <f t="shared" si="12"/>
        <v>0.96499297546918683</v>
      </c>
      <c r="F269" s="7">
        <f t="shared" si="13"/>
        <v>0.93121144270487466</v>
      </c>
    </row>
    <row r="270" spans="1:6">
      <c r="A270" s="8">
        <v>269</v>
      </c>
      <c r="B270" s="6">
        <v>44099</v>
      </c>
      <c r="C270" s="7">
        <v>68.938323670000003</v>
      </c>
      <c r="D270" s="7">
        <f t="shared" si="14"/>
        <v>69.975634238189599</v>
      </c>
      <c r="E270" s="7">
        <f t="shared" si="12"/>
        <v>-1.0373105681895964</v>
      </c>
      <c r="F270" s="7">
        <f t="shared" si="13"/>
        <v>1.0760132148778234</v>
      </c>
    </row>
    <row r="271" spans="1:6">
      <c r="A271" s="8">
        <v>270</v>
      </c>
      <c r="B271" s="6">
        <v>44100</v>
      </c>
      <c r="C271" s="7">
        <v>70.179854860000006</v>
      </c>
      <c r="D271" s="7">
        <f t="shared" si="14"/>
        <v>68.782712731307598</v>
      </c>
      <c r="E271" s="7">
        <f t="shared" si="12"/>
        <v>1.3971421286924084</v>
      </c>
      <c r="F271" s="7">
        <f t="shared" si="13"/>
        <v>1.9520061277671543</v>
      </c>
    </row>
    <row r="272" spans="1:6">
      <c r="A272" s="8">
        <v>271</v>
      </c>
      <c r="B272" s="6">
        <v>44101</v>
      </c>
      <c r="C272" s="7">
        <v>71.507791850000004</v>
      </c>
      <c r="D272" s="7">
        <f t="shared" si="14"/>
        <v>70.061662465072885</v>
      </c>
      <c r="E272" s="7">
        <f t="shared" si="12"/>
        <v>1.4461293849271186</v>
      </c>
      <c r="F272" s="7">
        <f t="shared" si="13"/>
        <v>2.0912901979496863</v>
      </c>
    </row>
    <row r="273" spans="1:6">
      <c r="A273" s="8">
        <v>272</v>
      </c>
      <c r="B273" s="6">
        <v>44102</v>
      </c>
      <c r="C273" s="7">
        <v>70.219342659999995</v>
      </c>
      <c r="D273" s="7">
        <f t="shared" si="14"/>
        <v>71.349291068619365</v>
      </c>
      <c r="E273" s="7">
        <f t="shared" si="12"/>
        <v>-1.1299484086193701</v>
      </c>
      <c r="F273" s="7">
        <f t="shared" si="13"/>
        <v>1.2767834061414469</v>
      </c>
    </row>
    <row r="274" spans="1:6">
      <c r="A274" s="8">
        <v>273</v>
      </c>
      <c r="B274" s="6">
        <v>44103</v>
      </c>
      <c r="C274" s="7">
        <v>69.437930249999994</v>
      </c>
      <c r="D274" s="7">
        <f t="shared" si="14"/>
        <v>70.027937656736228</v>
      </c>
      <c r="E274" s="7">
        <f t="shared" si="12"/>
        <v>-0.59000740673623397</v>
      </c>
      <c r="F274" s="7">
        <f t="shared" si="13"/>
        <v>0.34810874000361586</v>
      </c>
    </row>
    <row r="275" spans="1:6">
      <c r="A275" s="8">
        <v>274</v>
      </c>
      <c r="B275" s="6">
        <v>44104</v>
      </c>
      <c r="C275" s="7">
        <v>68.718765009999998</v>
      </c>
      <c r="D275" s="7">
        <f t="shared" si="14"/>
        <v>69.297757558528616</v>
      </c>
      <c r="E275" s="7">
        <f t="shared" si="12"/>
        <v>-0.57899254852861759</v>
      </c>
      <c r="F275" s="7">
        <f t="shared" si="13"/>
        <v>0.33523237125166361</v>
      </c>
    </row>
    <row r="276" spans="1:6">
      <c r="A276" s="8">
        <v>275</v>
      </c>
      <c r="B276" s="6">
        <v>44105</v>
      </c>
      <c r="C276" s="7">
        <v>70.099260409999999</v>
      </c>
      <c r="D276" s="7">
        <f t="shared" si="14"/>
        <v>68.532911263662569</v>
      </c>
      <c r="E276" s="7">
        <f t="shared" si="12"/>
        <v>1.5663491463374299</v>
      </c>
      <c r="F276" s="7">
        <f t="shared" si="13"/>
        <v>2.4534496482319956</v>
      </c>
    </row>
    <row r="277" spans="1:6">
      <c r="A277" s="8">
        <v>276</v>
      </c>
      <c r="B277" s="6">
        <v>44106</v>
      </c>
      <c r="C277" s="7">
        <v>69.382704459999999</v>
      </c>
      <c r="D277" s="7">
        <f t="shared" si="14"/>
        <v>70.01553274246595</v>
      </c>
      <c r="E277" s="7">
        <f t="shared" si="12"/>
        <v>-0.63282828246595102</v>
      </c>
      <c r="F277" s="7">
        <f t="shared" si="13"/>
        <v>0.40047163508880551</v>
      </c>
    </row>
    <row r="278" spans="1:6">
      <c r="A278" s="8">
        <v>277</v>
      </c>
      <c r="B278" s="6">
        <v>44107</v>
      </c>
      <c r="C278" s="7">
        <v>69.377367539999995</v>
      </c>
      <c r="D278" s="7">
        <f t="shared" si="14"/>
        <v>69.138120445690092</v>
      </c>
      <c r="E278" s="7">
        <f t="shared" si="12"/>
        <v>0.23924709430990276</v>
      </c>
      <c r="F278" s="7">
        <f t="shared" si="13"/>
        <v>5.7239172135731507E-2</v>
      </c>
    </row>
    <row r="279" spans="1:6">
      <c r="A279" s="8">
        <v>278</v>
      </c>
      <c r="B279" s="6">
        <v>44108</v>
      </c>
      <c r="C279" s="7">
        <v>68.952689280000001</v>
      </c>
      <c r="D279" s="7">
        <f t="shared" si="14"/>
        <v>69.313391415715415</v>
      </c>
      <c r="E279" s="7">
        <f t="shared" si="12"/>
        <v>-0.36070213571541387</v>
      </c>
      <c r="F279" s="7">
        <f t="shared" si="13"/>
        <v>0.13010603070966084</v>
      </c>
    </row>
    <row r="280" spans="1:6">
      <c r="A280" s="8">
        <v>279</v>
      </c>
      <c r="B280" s="6">
        <v>44109</v>
      </c>
      <c r="C280" s="7">
        <v>69.609357579999994</v>
      </c>
      <c r="D280" s="7">
        <f t="shared" si="14"/>
        <v>68.699203935516934</v>
      </c>
      <c r="E280" s="7">
        <f t="shared" si="12"/>
        <v>0.91015364448306002</v>
      </c>
      <c r="F280" s="7">
        <f t="shared" si="13"/>
        <v>0.82837965656579637</v>
      </c>
    </row>
    <row r="281" spans="1:6">
      <c r="A281" s="8">
        <v>280</v>
      </c>
      <c r="B281" s="6">
        <v>44110</v>
      </c>
      <c r="C281" s="7">
        <v>68.285578490000006</v>
      </c>
      <c r="D281" s="7">
        <f t="shared" si="14"/>
        <v>69.573030853110424</v>
      </c>
      <c r="E281" s="7">
        <f t="shared" si="12"/>
        <v>-1.2874523631104182</v>
      </c>
      <c r="F281" s="7">
        <f t="shared" si="13"/>
        <v>1.6575335872786001</v>
      </c>
    </row>
    <row r="282" spans="1:6">
      <c r="A282" s="8">
        <v>281</v>
      </c>
      <c r="B282" s="6">
        <v>44111</v>
      </c>
      <c r="C282" s="7">
        <v>70.415001459999999</v>
      </c>
      <c r="D282" s="7">
        <f t="shared" si="14"/>
        <v>67.980689175779773</v>
      </c>
      <c r="E282" s="7">
        <f t="shared" si="12"/>
        <v>2.4343122842202263</v>
      </c>
      <c r="F282" s="7">
        <f t="shared" si="13"/>
        <v>5.9258762971054955</v>
      </c>
    </row>
    <row r="283" spans="1:6">
      <c r="A283" s="8">
        <v>282</v>
      </c>
      <c r="B283" s="6">
        <v>44112</v>
      </c>
      <c r="C283" s="7">
        <v>69.79872091</v>
      </c>
      <c r="D283" s="7">
        <f t="shared" si="14"/>
        <v>70.470194413739435</v>
      </c>
      <c r="E283" s="7">
        <f t="shared" si="12"/>
        <v>-0.67147350373943482</v>
      </c>
      <c r="F283" s="7">
        <f t="shared" si="13"/>
        <v>0.45087666622411277</v>
      </c>
    </row>
    <row r="284" spans="1:6">
      <c r="A284" s="8">
        <v>283</v>
      </c>
      <c r="B284" s="6">
        <v>44113</v>
      </c>
      <c r="C284" s="7">
        <v>69.814626790000005</v>
      </c>
      <c r="D284" s="7">
        <f t="shared" si="14"/>
        <v>69.417779110084851</v>
      </c>
      <c r="E284" s="7">
        <f t="shared" si="12"/>
        <v>0.39684767991515457</v>
      </c>
      <c r="F284" s="7">
        <f t="shared" si="13"/>
        <v>0.15748808105404097</v>
      </c>
    </row>
    <row r="285" spans="1:6">
      <c r="A285" s="8">
        <v>284</v>
      </c>
      <c r="B285" s="6">
        <v>44114</v>
      </c>
      <c r="C285" s="7">
        <v>69.736636759999996</v>
      </c>
      <c r="D285" s="7">
        <f t="shared" si="14"/>
        <v>69.884353844172111</v>
      </c>
      <c r="E285" s="7">
        <f t="shared" si="12"/>
        <v>-0.14771708417211471</v>
      </c>
      <c r="F285" s="7">
        <f t="shared" si="13"/>
        <v>2.1820336956311623E-2</v>
      </c>
    </row>
    <row r="286" spans="1:6">
      <c r="A286" s="8">
        <v>285</v>
      </c>
      <c r="B286" s="6">
        <v>44115</v>
      </c>
      <c r="C286" s="7">
        <v>69.135479509999996</v>
      </c>
      <c r="D286" s="7">
        <f t="shared" si="14"/>
        <v>69.357728707358007</v>
      </c>
      <c r="E286" s="7">
        <f t="shared" si="12"/>
        <v>-0.22224919735801052</v>
      </c>
      <c r="F286" s="7">
        <f t="shared" si="13"/>
        <v>4.9394705726279908E-2</v>
      </c>
    </row>
    <row r="287" spans="1:6">
      <c r="A287" s="8">
        <v>286</v>
      </c>
      <c r="B287" s="6">
        <v>44116</v>
      </c>
      <c r="C287" s="7">
        <v>68.672516540000004</v>
      </c>
      <c r="D287" s="7">
        <f t="shared" si="14"/>
        <v>69.187676299976459</v>
      </c>
      <c r="E287" s="7">
        <f t="shared" si="12"/>
        <v>-0.51515975997645569</v>
      </c>
      <c r="F287" s="7">
        <f t="shared" si="13"/>
        <v>0.26538957829899945</v>
      </c>
    </row>
    <row r="288" spans="1:6">
      <c r="A288" s="8">
        <v>287</v>
      </c>
      <c r="B288" s="6">
        <v>44117</v>
      </c>
      <c r="C288" s="7">
        <v>70.399264619999997</v>
      </c>
      <c r="D288" s="7">
        <f t="shared" si="14"/>
        <v>68.304107030881895</v>
      </c>
      <c r="E288" s="7">
        <f t="shared" si="12"/>
        <v>2.0951575891181022</v>
      </c>
      <c r="F288" s="7">
        <f t="shared" si="13"/>
        <v>4.3896853232391786</v>
      </c>
    </row>
    <row r="289" spans="1:6">
      <c r="A289" s="8">
        <v>288</v>
      </c>
      <c r="B289" s="6">
        <v>44118</v>
      </c>
      <c r="C289" s="7">
        <v>70.112163210000006</v>
      </c>
      <c r="D289" s="7">
        <f t="shared" si="14"/>
        <v>70.505331719452727</v>
      </c>
      <c r="E289" s="7">
        <f t="shared" si="12"/>
        <v>-0.39316850945272108</v>
      </c>
      <c r="F289" s="7">
        <f t="shared" si="13"/>
        <v>0.15458147682527443</v>
      </c>
    </row>
    <row r="290" spans="1:6">
      <c r="A290" s="8">
        <v>289</v>
      </c>
      <c r="B290" s="6">
        <v>44119</v>
      </c>
      <c r="C290" s="7">
        <v>70.218688729999997</v>
      </c>
      <c r="D290" s="7">
        <f t="shared" si="14"/>
        <v>69.68934909948571</v>
      </c>
      <c r="E290" s="7">
        <f t="shared" si="12"/>
        <v>0.52933963051428634</v>
      </c>
      <c r="F290" s="7">
        <f t="shared" si="13"/>
        <v>0.28020044443300118</v>
      </c>
    </row>
    <row r="291" spans="1:6">
      <c r="A291" s="8">
        <v>290</v>
      </c>
      <c r="B291" s="6">
        <v>44120</v>
      </c>
      <c r="C291" s="7">
        <v>69.296067390000005</v>
      </c>
      <c r="D291" s="7">
        <f t="shared" si="14"/>
        <v>70.330806047709842</v>
      </c>
      <c r="E291" s="7">
        <f t="shared" si="12"/>
        <v>-1.0347386577098376</v>
      </c>
      <c r="F291" s="7">
        <f t="shared" si="13"/>
        <v>1.0706840897591565</v>
      </c>
    </row>
    <row r="292" spans="1:6">
      <c r="A292" s="8">
        <v>291</v>
      </c>
      <c r="B292" s="6">
        <v>44121</v>
      </c>
      <c r="C292" s="7">
        <v>68.864852380000002</v>
      </c>
      <c r="D292" s="7">
        <f t="shared" si="14"/>
        <v>68.85179694807735</v>
      </c>
      <c r="E292" s="7">
        <f t="shared" si="12"/>
        <v>1.3055431922651906E-2</v>
      </c>
      <c r="F292" s="7">
        <f t="shared" si="13"/>
        <v>1.7044430268699844E-4</v>
      </c>
    </row>
    <row r="293" spans="1:6">
      <c r="A293" s="8">
        <v>292</v>
      </c>
      <c r="B293" s="6">
        <v>44122</v>
      </c>
      <c r="C293" s="7">
        <v>70.002338359999996</v>
      </c>
      <c r="D293" s="7">
        <f t="shared" si="14"/>
        <v>68.988049668207623</v>
      </c>
      <c r="E293" s="7">
        <f t="shared" si="12"/>
        <v>1.0142886917923732</v>
      </c>
      <c r="F293" s="7">
        <f t="shared" si="13"/>
        <v>1.0287815502978839</v>
      </c>
    </row>
    <row r="294" spans="1:6">
      <c r="A294" s="8">
        <v>293</v>
      </c>
      <c r="B294" s="6">
        <v>44123</v>
      </c>
      <c r="C294" s="7">
        <v>71.2723558</v>
      </c>
      <c r="D294" s="7">
        <f t="shared" si="14"/>
        <v>69.605787311906852</v>
      </c>
      <c r="E294" s="7">
        <f t="shared" si="12"/>
        <v>1.6665684880931479</v>
      </c>
      <c r="F294" s="7">
        <f t="shared" si="13"/>
        <v>2.7774505255050812</v>
      </c>
    </row>
    <row r="295" spans="1:6">
      <c r="A295" s="8">
        <v>294</v>
      </c>
      <c r="B295" s="6">
        <v>44124</v>
      </c>
      <c r="C295" s="7">
        <v>70.587395569999998</v>
      </c>
      <c r="D295" s="7">
        <f t="shared" si="14"/>
        <v>71.388730771734203</v>
      </c>
      <c r="E295" s="7">
        <f t="shared" si="12"/>
        <v>-0.80133520173420436</v>
      </c>
      <c r="F295" s="7">
        <f t="shared" si="13"/>
        <v>0.64213810553839801</v>
      </c>
    </row>
    <row r="296" spans="1:6">
      <c r="A296" s="8">
        <v>295</v>
      </c>
      <c r="B296" s="6">
        <v>44125</v>
      </c>
      <c r="C296" s="7">
        <v>68.54881073</v>
      </c>
      <c r="D296" s="7">
        <f t="shared" si="14"/>
        <v>70.140345126619437</v>
      </c>
      <c r="E296" s="7">
        <f t="shared" si="12"/>
        <v>-1.5915343966194371</v>
      </c>
      <c r="F296" s="7">
        <f t="shared" si="13"/>
        <v>2.5329817356227955</v>
      </c>
    </row>
    <row r="297" spans="1:6">
      <c r="A297" s="8">
        <v>296</v>
      </c>
      <c r="B297" s="6">
        <v>44126</v>
      </c>
      <c r="C297" s="7">
        <v>70.951023849999999</v>
      </c>
      <c r="D297" s="7">
        <f t="shared" si="14"/>
        <v>68.627932868427465</v>
      </c>
      <c r="E297" s="7">
        <f t="shared" si="12"/>
        <v>2.323090981572534</v>
      </c>
      <c r="F297" s="7">
        <f t="shared" si="13"/>
        <v>5.3967517086636398</v>
      </c>
    </row>
    <row r="298" spans="1:6">
      <c r="A298" s="8">
        <v>297</v>
      </c>
      <c r="B298" s="6">
        <v>44127</v>
      </c>
      <c r="C298" s="7">
        <v>70.149421779999997</v>
      </c>
      <c r="D298" s="7">
        <f t="shared" si="14"/>
        <v>70.631865311378306</v>
      </c>
      <c r="E298" s="7">
        <f t="shared" si="12"/>
        <v>-0.48244353137830842</v>
      </c>
      <c r="F298" s="7">
        <f t="shared" si="13"/>
        <v>0.23275176096877287</v>
      </c>
    </row>
    <row r="299" spans="1:6">
      <c r="A299" s="8">
        <v>298</v>
      </c>
      <c r="B299" s="6">
        <v>44128</v>
      </c>
      <c r="C299" s="7">
        <v>68.262758509999998</v>
      </c>
      <c r="D299" s="7">
        <f t="shared" si="14"/>
        <v>70.131981721085666</v>
      </c>
      <c r="E299" s="7">
        <f t="shared" si="12"/>
        <v>-1.8692232110856679</v>
      </c>
      <c r="F299" s="7">
        <f t="shared" si="13"/>
        <v>3.4939954128614152</v>
      </c>
    </row>
    <row r="300" spans="1:6">
      <c r="A300" s="8">
        <v>299</v>
      </c>
      <c r="B300" s="6">
        <v>44129</v>
      </c>
      <c r="C300" s="7">
        <v>71.507253160000005</v>
      </c>
      <c r="D300" s="7">
        <f t="shared" si="14"/>
        <v>67.922385505196075</v>
      </c>
      <c r="E300" s="7">
        <f t="shared" si="12"/>
        <v>3.5848676548039293</v>
      </c>
      <c r="F300" s="7">
        <f t="shared" si="13"/>
        <v>12.851276102459424</v>
      </c>
    </row>
    <row r="301" spans="1:6">
      <c r="A301" s="8">
        <v>300</v>
      </c>
      <c r="B301" s="6">
        <v>44130</v>
      </c>
      <c r="C301" s="7">
        <v>71.021492050000006</v>
      </c>
      <c r="D301" s="7">
        <f t="shared" si="14"/>
        <v>71.626210287820285</v>
      </c>
      <c r="E301" s="7">
        <f t="shared" si="12"/>
        <v>-0.60471823782027911</v>
      </c>
      <c r="F301" s="7">
        <f t="shared" si="13"/>
        <v>0.36568414715246367</v>
      </c>
    </row>
    <row r="302" spans="1:6">
      <c r="A302" s="8">
        <v>301</v>
      </c>
      <c r="B302" s="6">
        <v>44131</v>
      </c>
      <c r="C302" s="7">
        <v>68.698986590000004</v>
      </c>
      <c r="D302" s="7">
        <f t="shared" si="14"/>
        <v>70.575946880217415</v>
      </c>
      <c r="E302" s="7">
        <f t="shared" si="12"/>
        <v>-1.8769602902174114</v>
      </c>
      <c r="F302" s="7">
        <f t="shared" si="13"/>
        <v>3.5229799310530292</v>
      </c>
    </row>
    <row r="303" spans="1:6">
      <c r="A303" s="8">
        <v>302</v>
      </c>
      <c r="B303" s="6">
        <v>44132</v>
      </c>
      <c r="C303" s="7">
        <v>68.229504570000003</v>
      </c>
      <c r="D303" s="7">
        <f t="shared" si="14"/>
        <v>68.767438613422854</v>
      </c>
      <c r="E303" s="7">
        <f t="shared" si="12"/>
        <v>-0.537934043422851</v>
      </c>
      <c r="F303" s="7">
        <f t="shared" si="13"/>
        <v>0.28937303507325773</v>
      </c>
    </row>
    <row r="304" spans="1:6">
      <c r="A304" s="8">
        <v>303</v>
      </c>
      <c r="B304" s="6">
        <v>44133</v>
      </c>
      <c r="C304" s="7">
        <v>69.695551660000007</v>
      </c>
      <c r="D304" s="7">
        <f t="shared" si="14"/>
        <v>67.846760491057694</v>
      </c>
      <c r="E304" s="7">
        <f t="shared" si="12"/>
        <v>1.8487911689423129</v>
      </c>
      <c r="F304" s="7">
        <f t="shared" si="13"/>
        <v>3.4180287863590837</v>
      </c>
    </row>
    <row r="305" spans="1:6">
      <c r="A305" s="8">
        <v>304</v>
      </c>
      <c r="B305" s="6">
        <v>44134</v>
      </c>
      <c r="C305" s="7">
        <v>70.538791180000004</v>
      </c>
      <c r="D305" s="7">
        <f t="shared" si="14"/>
        <v>69.811092328032288</v>
      </c>
      <c r="E305" s="7">
        <f t="shared" si="12"/>
        <v>0.72769885196771611</v>
      </c>
      <c r="F305" s="7">
        <f t="shared" si="13"/>
        <v>0.52954561915513199</v>
      </c>
    </row>
    <row r="306" spans="1:6">
      <c r="A306" s="8">
        <v>305</v>
      </c>
      <c r="B306" s="6">
        <v>44135</v>
      </c>
      <c r="C306" s="7">
        <v>69.562880010000001</v>
      </c>
      <c r="D306" s="7">
        <f t="shared" si="14"/>
        <v>70.138627035144253</v>
      </c>
      <c r="E306" s="7">
        <f t="shared" si="12"/>
        <v>-0.57574702514425269</v>
      </c>
      <c r="F306" s="7">
        <f t="shared" si="13"/>
        <v>0.33148463696245672</v>
      </c>
    </row>
    <row r="307" spans="1:6">
      <c r="A307" s="8">
        <v>306</v>
      </c>
      <c r="B307" s="6">
        <v>44136</v>
      </c>
      <c r="C307" s="7">
        <v>71.398814250000001</v>
      </c>
      <c r="D307" s="7">
        <f t="shared" si="14"/>
        <v>69.622992877463091</v>
      </c>
      <c r="E307" s="7">
        <f t="shared" si="12"/>
        <v>1.7758213725369103</v>
      </c>
      <c r="F307" s="7">
        <f t="shared" si="13"/>
        <v>3.1535415471588761</v>
      </c>
    </row>
    <row r="308" spans="1:6">
      <c r="A308" s="8">
        <v>307</v>
      </c>
      <c r="B308" s="6">
        <v>44137</v>
      </c>
      <c r="C308" s="7">
        <v>70.448844870000002</v>
      </c>
      <c r="D308" s="7">
        <f t="shared" si="14"/>
        <v>71.079511767569045</v>
      </c>
      <c r="E308" s="7">
        <f t="shared" si="12"/>
        <v>-0.63066689756904282</v>
      </c>
      <c r="F308" s="7">
        <f t="shared" si="13"/>
        <v>0.39774073568936152</v>
      </c>
    </row>
    <row r="309" spans="1:6">
      <c r="A309" s="8">
        <v>308</v>
      </c>
      <c r="B309" s="6">
        <v>44138</v>
      </c>
      <c r="C309" s="7">
        <v>68.664976060000001</v>
      </c>
      <c r="D309" s="7">
        <f t="shared" si="14"/>
        <v>70.425775840329962</v>
      </c>
      <c r="E309" s="7">
        <f t="shared" si="12"/>
        <v>-1.7607997803299611</v>
      </c>
      <c r="F309" s="7">
        <f t="shared" si="13"/>
        <v>3.1004158664100392</v>
      </c>
    </row>
    <row r="310" spans="1:6">
      <c r="A310" s="8">
        <v>309</v>
      </c>
      <c r="B310" s="6">
        <v>44139</v>
      </c>
      <c r="C310" s="7">
        <v>70.025025569999997</v>
      </c>
      <c r="D310" s="7">
        <f t="shared" si="14"/>
        <v>68.331485790648728</v>
      </c>
      <c r="E310" s="7">
        <f t="shared" si="12"/>
        <v>1.6935397793512692</v>
      </c>
      <c r="F310" s="7">
        <f t="shared" si="13"/>
        <v>2.8680769842451457</v>
      </c>
    </row>
    <row r="311" spans="1:6">
      <c r="A311" s="8">
        <v>310</v>
      </c>
      <c r="B311" s="6">
        <v>44140</v>
      </c>
      <c r="C311" s="7">
        <v>71.744585369999996</v>
      </c>
      <c r="D311" s="7">
        <f t="shared" si="14"/>
        <v>70.087172059194046</v>
      </c>
      <c r="E311" s="7">
        <f t="shared" si="12"/>
        <v>1.6574133108059499</v>
      </c>
      <c r="F311" s="7">
        <f t="shared" si="13"/>
        <v>2.7470188828367403</v>
      </c>
    </row>
    <row r="312" spans="1:6">
      <c r="A312" s="8">
        <v>311</v>
      </c>
      <c r="B312" s="6">
        <v>44141</v>
      </c>
      <c r="C312" s="7">
        <v>70.221750450000002</v>
      </c>
      <c r="D312" s="7">
        <f t="shared" si="14"/>
        <v>71.418253518216176</v>
      </c>
      <c r="E312" s="7">
        <f t="shared" si="12"/>
        <v>-1.1965030682161739</v>
      </c>
      <c r="F312" s="7">
        <f t="shared" si="13"/>
        <v>1.4316195922507182</v>
      </c>
    </row>
    <row r="313" spans="1:6">
      <c r="A313" s="8">
        <v>312</v>
      </c>
      <c r="B313" s="6">
        <v>44142</v>
      </c>
      <c r="C313" s="7">
        <v>68.208327370000006</v>
      </c>
      <c r="D313" s="7">
        <f t="shared" si="14"/>
        <v>70.189456016181481</v>
      </c>
      <c r="E313" s="7">
        <f t="shared" si="12"/>
        <v>-1.9811286461814746</v>
      </c>
      <c r="F313" s="7">
        <f t="shared" si="13"/>
        <v>3.9248707127208422</v>
      </c>
    </row>
    <row r="314" spans="1:6">
      <c r="A314" s="8">
        <v>313</v>
      </c>
      <c r="B314" s="6">
        <v>44143</v>
      </c>
      <c r="C314" s="7">
        <v>69.888909549999994</v>
      </c>
      <c r="D314" s="7">
        <f t="shared" si="14"/>
        <v>67.87909744337864</v>
      </c>
      <c r="E314" s="7">
        <f t="shared" si="12"/>
        <v>2.0098121066213537</v>
      </c>
      <c r="F314" s="7">
        <f t="shared" si="13"/>
        <v>4.0393447039217634</v>
      </c>
    </row>
    <row r="315" spans="1:6">
      <c r="A315" s="8">
        <v>314</v>
      </c>
      <c r="B315" s="6">
        <v>44144</v>
      </c>
      <c r="C315" s="7">
        <v>68.42352391</v>
      </c>
      <c r="D315" s="7">
        <f t="shared" si="14"/>
        <v>69.957054551639644</v>
      </c>
      <c r="E315" s="7">
        <f t="shared" si="12"/>
        <v>-1.5335306416396435</v>
      </c>
      <c r="F315" s="7">
        <f t="shared" si="13"/>
        <v>2.3517162288476965</v>
      </c>
    </row>
    <row r="316" spans="1:6">
      <c r="A316" s="8">
        <v>315</v>
      </c>
      <c r="B316" s="6">
        <v>44145</v>
      </c>
      <c r="C316" s="7">
        <v>67.860819820000003</v>
      </c>
      <c r="D316" s="7">
        <f t="shared" si="14"/>
        <v>68.010351048733639</v>
      </c>
      <c r="E316" s="7">
        <f t="shared" si="12"/>
        <v>-0.14953122873363611</v>
      </c>
      <c r="F316" s="7">
        <f t="shared" si="13"/>
        <v>2.2359588366591004E-2</v>
      </c>
    </row>
    <row r="317" spans="1:6">
      <c r="A317" s="8">
        <v>316</v>
      </c>
      <c r="B317" s="6">
        <v>44146</v>
      </c>
      <c r="C317" s="7">
        <v>70.156880869999995</v>
      </c>
      <c r="D317" s="7">
        <f t="shared" si="14"/>
        <v>67.953713614547496</v>
      </c>
      <c r="E317" s="7">
        <f t="shared" si="12"/>
        <v>2.2031672554524988</v>
      </c>
      <c r="F317" s="7">
        <f t="shared" si="13"/>
        <v>4.8539459554980962</v>
      </c>
    </row>
    <row r="318" spans="1:6">
      <c r="A318" s="8">
        <v>317</v>
      </c>
      <c r="B318" s="6">
        <v>44147</v>
      </c>
      <c r="C318" s="7">
        <v>70.68053003</v>
      </c>
      <c r="D318" s="7">
        <f t="shared" si="14"/>
        <v>69.824406000261291</v>
      </c>
      <c r="E318" s="7">
        <f t="shared" si="12"/>
        <v>0.85612402973870871</v>
      </c>
      <c r="F318" s="7">
        <f t="shared" si="13"/>
        <v>0.73294835429604543</v>
      </c>
    </row>
    <row r="319" spans="1:6">
      <c r="A319" s="8">
        <v>318</v>
      </c>
      <c r="B319" s="6">
        <v>44148</v>
      </c>
      <c r="C319" s="7">
        <v>70.097316410000005</v>
      </c>
      <c r="D319" s="7">
        <f t="shared" si="14"/>
        <v>70.713688488409019</v>
      </c>
      <c r="E319" s="7">
        <f t="shared" si="12"/>
        <v>-0.61637207840901453</v>
      </c>
      <c r="F319" s="7">
        <f t="shared" si="13"/>
        <v>0.37991453904224837</v>
      </c>
    </row>
    <row r="320" spans="1:6">
      <c r="A320" s="8">
        <v>319</v>
      </c>
      <c r="B320" s="6">
        <v>44149</v>
      </c>
      <c r="C320" s="7">
        <v>70.207047439999997</v>
      </c>
      <c r="D320" s="7">
        <f t="shared" si="14"/>
        <v>69.737863962206973</v>
      </c>
      <c r="E320" s="7">
        <f t="shared" si="12"/>
        <v>0.46918347779302394</v>
      </c>
      <c r="F320" s="7">
        <f t="shared" si="13"/>
        <v>0.22013313583395699</v>
      </c>
    </row>
    <row r="321" spans="1:6">
      <c r="A321" s="8">
        <v>320</v>
      </c>
      <c r="B321" s="6">
        <v>44150</v>
      </c>
      <c r="C321" s="7">
        <v>69.942259120000003</v>
      </c>
      <c r="D321" s="7">
        <f t="shared" si="14"/>
        <v>70.256584215004693</v>
      </c>
      <c r="E321" s="7">
        <f t="shared" si="12"/>
        <v>-0.31432509500469052</v>
      </c>
      <c r="F321" s="7">
        <f t="shared" si="13"/>
        <v>9.8800265349707719E-2</v>
      </c>
    </row>
    <row r="322" spans="1:6">
      <c r="A322" s="8">
        <v>321</v>
      </c>
      <c r="B322" s="6">
        <v>44151</v>
      </c>
      <c r="C322" s="7">
        <v>68.604554519999994</v>
      </c>
      <c r="D322" s="7">
        <f t="shared" si="14"/>
        <v>69.576828700426162</v>
      </c>
      <c r="E322" s="7">
        <f t="shared" si="12"/>
        <v>-0.97227418042616875</v>
      </c>
      <c r="F322" s="7">
        <f t="shared" si="13"/>
        <v>0.94531708192337816</v>
      </c>
    </row>
    <row r="323" spans="1:6">
      <c r="A323" s="8">
        <v>322</v>
      </c>
      <c r="B323" s="6">
        <v>44152</v>
      </c>
      <c r="C323" s="7">
        <v>70.45613032</v>
      </c>
      <c r="D323" s="7">
        <f t="shared" si="14"/>
        <v>68.6236534119449</v>
      </c>
      <c r="E323" s="7">
        <f t="shared" si="12"/>
        <v>1.8324769080550993</v>
      </c>
      <c r="F323" s="7">
        <f t="shared" si="13"/>
        <v>3.3579716185551769</v>
      </c>
    </row>
    <row r="324" spans="1:6">
      <c r="A324" s="8">
        <v>323</v>
      </c>
      <c r="B324" s="6">
        <v>44153</v>
      </c>
      <c r="C324" s="7">
        <v>72.017325889999995</v>
      </c>
      <c r="D324" s="7">
        <f t="shared" si="14"/>
        <v>70.182058156263352</v>
      </c>
      <c r="E324" s="7">
        <f t="shared" ref="E324:E387" si="15">C324-D324</f>
        <v>1.835267733736643</v>
      </c>
      <c r="F324" s="7">
        <f t="shared" ref="F324:F387" si="16">E324^2</f>
        <v>3.3682076544948334</v>
      </c>
    </row>
    <row r="325" spans="1:6">
      <c r="A325" s="8">
        <v>324</v>
      </c>
      <c r="B325" s="6">
        <v>44154</v>
      </c>
      <c r="C325" s="7">
        <v>71.278889000000007</v>
      </c>
      <c r="D325" s="7">
        <f t="shared" ref="D325:D388" si="17">0.03559*C324+0.96*C323+0+0.99*E324</f>
        <v>72.017896792024374</v>
      </c>
      <c r="E325" s="7">
        <f t="shared" si="15"/>
        <v>-0.73900779202436695</v>
      </c>
      <c r="F325" s="7">
        <f t="shared" si="16"/>
        <v>0.54613251667273</v>
      </c>
    </row>
    <row r="326" spans="1:6">
      <c r="A326" s="8">
        <v>325</v>
      </c>
      <c r="B326" s="6">
        <v>44155</v>
      </c>
      <c r="C326" s="7">
        <v>70.207269650000001</v>
      </c>
      <c r="D326" s="7">
        <f t="shared" si="17"/>
        <v>70.941830799805871</v>
      </c>
      <c r="E326" s="7">
        <f t="shared" si="15"/>
        <v>-0.73456114980587017</v>
      </c>
      <c r="F326" s="7">
        <f t="shared" si="16"/>
        <v>0.53958008280412206</v>
      </c>
    </row>
    <row r="327" spans="1:6">
      <c r="A327" s="8">
        <v>326</v>
      </c>
      <c r="B327" s="6">
        <v>44156</v>
      </c>
      <c r="C327" s="7">
        <v>72.080319900000006</v>
      </c>
      <c r="D327" s="7">
        <f t="shared" si="17"/>
        <v>70.199194628535679</v>
      </c>
      <c r="E327" s="7">
        <f t="shared" si="15"/>
        <v>1.8811252714643274</v>
      </c>
      <c r="F327" s="7">
        <f t="shared" si="16"/>
        <v>3.5386322869417395</v>
      </c>
    </row>
    <row r="328" spans="1:6">
      <c r="A328" s="8">
        <v>327</v>
      </c>
      <c r="B328" s="6">
        <v>44157</v>
      </c>
      <c r="C328" s="7">
        <v>70.909578199999999</v>
      </c>
      <c r="D328" s="7">
        <f t="shared" si="17"/>
        <v>71.82663146799068</v>
      </c>
      <c r="E328" s="7">
        <f t="shared" si="15"/>
        <v>-0.91705326799068132</v>
      </c>
      <c r="F328" s="7">
        <f t="shared" si="16"/>
        <v>0.84098669633238832</v>
      </c>
    </row>
    <row r="329" spans="1:6">
      <c r="A329" s="8">
        <v>328</v>
      </c>
      <c r="B329" s="6">
        <v>44158</v>
      </c>
      <c r="C329" s="7">
        <v>69.662073969999994</v>
      </c>
      <c r="D329" s="7">
        <f t="shared" si="17"/>
        <v>70.812896256827216</v>
      </c>
      <c r="E329" s="7">
        <f t="shared" si="15"/>
        <v>-1.1508222868272213</v>
      </c>
      <c r="F329" s="7">
        <f t="shared" si="16"/>
        <v>1.3243919358582352</v>
      </c>
    </row>
    <row r="330" spans="1:6">
      <c r="A330" s="8">
        <v>329</v>
      </c>
      <c r="B330" s="6">
        <v>44159</v>
      </c>
      <c r="C330" s="7">
        <v>69.888852170000007</v>
      </c>
      <c r="D330" s="7">
        <f t="shared" si="17"/>
        <v>69.413154220633345</v>
      </c>
      <c r="E330" s="7">
        <f t="shared" si="15"/>
        <v>0.47569794936666199</v>
      </c>
      <c r="F330" s="7">
        <f t="shared" si="16"/>
        <v>0.22628853903164731</v>
      </c>
    </row>
    <row r="331" spans="1:6">
      <c r="A331" s="8">
        <v>330</v>
      </c>
      <c r="B331" s="6">
        <v>44160</v>
      </c>
      <c r="C331" s="7">
        <v>71.50601107</v>
      </c>
      <c r="D331" s="7">
        <f t="shared" si="17"/>
        <v>69.83387622980328</v>
      </c>
      <c r="E331" s="7">
        <f t="shared" si="15"/>
        <v>1.6721348401967191</v>
      </c>
      <c r="F331" s="7">
        <f t="shared" si="16"/>
        <v>2.7960349237997075</v>
      </c>
    </row>
    <row r="332" spans="1:6">
      <c r="A332" s="8">
        <v>331</v>
      </c>
      <c r="B332" s="6">
        <v>44161</v>
      </c>
      <c r="C332" s="7">
        <v>72.529721739999999</v>
      </c>
      <c r="D332" s="7">
        <f t="shared" si="17"/>
        <v>71.293610508976059</v>
      </c>
      <c r="E332" s="7">
        <f t="shared" si="15"/>
        <v>1.2361112310239406</v>
      </c>
      <c r="F332" s="7">
        <f t="shared" si="16"/>
        <v>1.5279709754635218</v>
      </c>
    </row>
    <row r="333" spans="1:6">
      <c r="A333" s="8">
        <v>332</v>
      </c>
      <c r="B333" s="6">
        <v>44162</v>
      </c>
      <c r="C333" s="7">
        <v>70.80745709</v>
      </c>
      <c r="D333" s="7">
        <f t="shared" si="17"/>
        <v>72.450853542640289</v>
      </c>
      <c r="E333" s="7">
        <f t="shared" si="15"/>
        <v>-1.6433964526402889</v>
      </c>
      <c r="F333" s="7">
        <f t="shared" si="16"/>
        <v>2.7007519005506855</v>
      </c>
    </row>
    <row r="334" spans="1:6">
      <c r="A334" s="8">
        <v>333</v>
      </c>
      <c r="B334" s="6">
        <v>44163</v>
      </c>
      <c r="C334" s="7">
        <v>70.03388898</v>
      </c>
      <c r="D334" s="7">
        <f t="shared" si="17"/>
        <v>70.521607780119197</v>
      </c>
      <c r="E334" s="7">
        <f t="shared" si="15"/>
        <v>-0.48771880011919677</v>
      </c>
      <c r="F334" s="7">
        <f t="shared" si="16"/>
        <v>0.23786962798970901</v>
      </c>
    </row>
    <row r="335" spans="1:6">
      <c r="A335" s="8">
        <v>334</v>
      </c>
      <c r="B335" s="6">
        <v>44164</v>
      </c>
      <c r="C335" s="7">
        <v>68.400012790000005</v>
      </c>
      <c r="D335" s="7">
        <f t="shared" si="17"/>
        <v>69.984823303080191</v>
      </c>
      <c r="E335" s="7">
        <f t="shared" si="15"/>
        <v>-1.5848105130801855</v>
      </c>
      <c r="F335" s="7">
        <f t="shared" si="16"/>
        <v>2.5116243623694809</v>
      </c>
    </row>
    <row r="336" spans="1:6">
      <c r="A336" s="8">
        <v>335</v>
      </c>
      <c r="B336" s="6">
        <v>44165</v>
      </c>
      <c r="C336" s="7">
        <v>68.71786487</v>
      </c>
      <c r="D336" s="7">
        <f t="shared" si="17"/>
        <v>68.097927468046706</v>
      </c>
      <c r="E336" s="7">
        <f t="shared" si="15"/>
        <v>0.61993740195329394</v>
      </c>
      <c r="F336" s="7">
        <f t="shared" si="16"/>
        <v>0.38432238234059996</v>
      </c>
    </row>
    <row r="337" spans="1:6">
      <c r="A337" s="8">
        <v>336</v>
      </c>
      <c r="B337" s="6">
        <v>44166</v>
      </c>
      <c r="C337" s="7">
        <v>68.870424689999993</v>
      </c>
      <c r="D337" s="7">
        <f t="shared" si="17"/>
        <v>68.723419117057077</v>
      </c>
      <c r="E337" s="7">
        <f t="shared" si="15"/>
        <v>0.14700557294291627</v>
      </c>
      <c r="F337" s="7">
        <f t="shared" si="16"/>
        <v>2.1610638476275076E-2</v>
      </c>
    </row>
    <row r="338" spans="1:6">
      <c r="A338" s="8">
        <v>337</v>
      </c>
      <c r="B338" s="6">
        <v>44167</v>
      </c>
      <c r="C338" s="7">
        <v>68.700063599999993</v>
      </c>
      <c r="D338" s="7">
        <f t="shared" si="17"/>
        <v>68.565784207130577</v>
      </c>
      <c r="E338" s="7">
        <f t="shared" si="15"/>
        <v>0.13427939286941637</v>
      </c>
      <c r="F338" s="7">
        <f t="shared" si="16"/>
        <v>1.8030955349379069E-2</v>
      </c>
    </row>
    <row r="339" spans="1:6">
      <c r="A339" s="8">
        <v>338</v>
      </c>
      <c r="B339" s="6">
        <v>44168</v>
      </c>
      <c r="C339" s="7">
        <v>71.240487470000005</v>
      </c>
      <c r="D339" s="7">
        <f t="shared" si="17"/>
        <v>68.693579564864706</v>
      </c>
      <c r="E339" s="7">
        <f t="shared" si="15"/>
        <v>2.5469079051352992</v>
      </c>
      <c r="F339" s="7">
        <f t="shared" si="16"/>
        <v>6.4867398772406784</v>
      </c>
    </row>
    <row r="340" spans="1:6">
      <c r="A340" s="8">
        <v>339</v>
      </c>
      <c r="B340" s="6">
        <v>44169</v>
      </c>
      <c r="C340" s="7">
        <v>70.341986739999996</v>
      </c>
      <c r="D340" s="7">
        <f t="shared" si="17"/>
        <v>71.00894883114124</v>
      </c>
      <c r="E340" s="7">
        <f t="shared" si="15"/>
        <v>-0.66696209114124372</v>
      </c>
      <c r="F340" s="7">
        <f t="shared" si="16"/>
        <v>0.44483843101950071</v>
      </c>
    </row>
    <row r="341" spans="1:6">
      <c r="A341" s="8">
        <v>340</v>
      </c>
      <c r="B341" s="6">
        <v>44170</v>
      </c>
      <c r="C341" s="7">
        <v>69.301439900000005</v>
      </c>
      <c r="D341" s="7">
        <f t="shared" si="17"/>
        <v>70.234046809046774</v>
      </c>
      <c r="E341" s="7">
        <f t="shared" si="15"/>
        <v>-0.93260690904676835</v>
      </c>
      <c r="F341" s="7">
        <f t="shared" si="16"/>
        <v>0.8697556468017672</v>
      </c>
    </row>
    <row r="342" spans="1:6">
      <c r="A342" s="8">
        <v>341</v>
      </c>
      <c r="B342" s="6">
        <v>44171</v>
      </c>
      <c r="C342" s="7">
        <v>69.844116700000001</v>
      </c>
      <c r="D342" s="7">
        <f t="shared" si="17"/>
        <v>69.07146467648468</v>
      </c>
      <c r="E342" s="7">
        <f t="shared" si="15"/>
        <v>0.77265202351532025</v>
      </c>
      <c r="F342" s="7">
        <f t="shared" si="16"/>
        <v>0.59699114944231901</v>
      </c>
    </row>
    <row r="343" spans="1:6">
      <c r="A343" s="8">
        <v>342</v>
      </c>
      <c r="B343" s="6">
        <v>44172</v>
      </c>
      <c r="C343" s="7">
        <v>71.413863320000004</v>
      </c>
      <c r="D343" s="7">
        <f t="shared" si="17"/>
        <v>69.780059920633178</v>
      </c>
      <c r="E343" s="7">
        <f t="shared" si="15"/>
        <v>1.6338033993668262</v>
      </c>
      <c r="F343" s="7">
        <f t="shared" si="16"/>
        <v>2.6693135477825969</v>
      </c>
    </row>
    <row r="344" spans="1:6">
      <c r="A344" s="8">
        <v>343</v>
      </c>
      <c r="B344" s="6">
        <v>44173</v>
      </c>
      <c r="C344" s="7">
        <v>71.376198110000004</v>
      </c>
      <c r="D344" s="7">
        <f t="shared" si="17"/>
        <v>71.209436792931953</v>
      </c>
      <c r="E344" s="7">
        <f t="shared" si="15"/>
        <v>0.16676131706805108</v>
      </c>
      <c r="F344" s="7">
        <f t="shared" si="16"/>
        <v>2.7809336870271067E-2</v>
      </c>
    </row>
    <row r="345" spans="1:6">
      <c r="A345" s="8">
        <v>344</v>
      </c>
      <c r="B345" s="6">
        <v>44174</v>
      </c>
      <c r="C345" s="7">
        <v>73.160914980000001</v>
      </c>
      <c r="D345" s="7">
        <f t="shared" si="17"/>
        <v>71.262681381832266</v>
      </c>
      <c r="E345" s="7">
        <f t="shared" si="15"/>
        <v>1.8982335981677352</v>
      </c>
      <c r="F345" s="7">
        <f t="shared" si="16"/>
        <v>3.6032907932128269</v>
      </c>
    </row>
    <row r="346" spans="1:6">
      <c r="A346" s="8">
        <v>345</v>
      </c>
      <c r="B346" s="6">
        <v>44175</v>
      </c>
      <c r="C346" s="7">
        <v>71.409021580000001</v>
      </c>
      <c r="D346" s="7">
        <f t="shared" si="17"/>
        <v>73.004198411924264</v>
      </c>
      <c r="E346" s="7">
        <f t="shared" si="15"/>
        <v>-1.5951768319242632</v>
      </c>
      <c r="F346" s="7">
        <f t="shared" si="16"/>
        <v>2.5445891251079291</v>
      </c>
    </row>
    <row r="347" spans="1:6">
      <c r="A347" s="8">
        <v>346</v>
      </c>
      <c r="B347" s="6">
        <v>44176</v>
      </c>
      <c r="C347" s="7">
        <v>70.155854890000001</v>
      </c>
      <c r="D347" s="7">
        <f t="shared" si="17"/>
        <v>71.196700395227182</v>
      </c>
      <c r="E347" s="7">
        <f t="shared" si="15"/>
        <v>-1.0408455052271819</v>
      </c>
      <c r="F347" s="7">
        <f t="shared" si="16"/>
        <v>1.0833593657516276</v>
      </c>
    </row>
    <row r="348" spans="1:6">
      <c r="A348" s="8">
        <v>347</v>
      </c>
      <c r="B348" s="6">
        <v>44177</v>
      </c>
      <c r="C348" s="7">
        <v>69.946407140000005</v>
      </c>
      <c r="D348" s="7">
        <f t="shared" si="17"/>
        <v>70.019070542160193</v>
      </c>
      <c r="E348" s="7">
        <f t="shared" si="15"/>
        <v>-7.2663402160188184E-2</v>
      </c>
      <c r="F348" s="7">
        <f t="shared" si="16"/>
        <v>5.2799700134932405E-3</v>
      </c>
    </row>
    <row r="349" spans="1:6">
      <c r="A349" s="8">
        <v>348</v>
      </c>
      <c r="B349" s="6">
        <v>44178</v>
      </c>
      <c r="C349" s="7">
        <v>71.356137200000006</v>
      </c>
      <c r="D349" s="7">
        <f t="shared" si="17"/>
        <v>69.767076556374022</v>
      </c>
      <c r="E349" s="7">
        <f t="shared" si="15"/>
        <v>1.5890606436259844</v>
      </c>
      <c r="F349" s="7">
        <f t="shared" si="16"/>
        <v>2.5251137291210277</v>
      </c>
    </row>
    <row r="350" spans="1:6">
      <c r="A350" s="8">
        <v>349</v>
      </c>
      <c r="B350" s="6">
        <v>44179</v>
      </c>
      <c r="C350" s="7">
        <v>71.336999129999995</v>
      </c>
      <c r="D350" s="7">
        <f t="shared" si="17"/>
        <v>71.261285814537729</v>
      </c>
      <c r="E350" s="7">
        <f t="shared" si="15"/>
        <v>7.5713315462266451E-2</v>
      </c>
      <c r="F350" s="7">
        <f t="shared" si="16"/>
        <v>5.7325061382886757E-3</v>
      </c>
    </row>
    <row r="351" spans="1:6">
      <c r="A351" s="8">
        <v>350</v>
      </c>
      <c r="B351" s="6">
        <v>44180</v>
      </c>
      <c r="C351" s="7">
        <v>70.279128619999994</v>
      </c>
      <c r="D351" s="7">
        <f t="shared" si="17"/>
        <v>71.115731693344344</v>
      </c>
      <c r="E351" s="7">
        <f t="shared" si="15"/>
        <v>-0.83660307334434947</v>
      </c>
      <c r="F351" s="7">
        <f t="shared" si="16"/>
        <v>0.69990470232921098</v>
      </c>
    </row>
    <row r="352" spans="1:6">
      <c r="A352" s="8">
        <v>351</v>
      </c>
      <c r="B352" s="6">
        <v>44181</v>
      </c>
      <c r="C352" s="7">
        <v>68.81888884</v>
      </c>
      <c r="D352" s="7">
        <f t="shared" si="17"/>
        <v>70.156516309774872</v>
      </c>
      <c r="E352" s="7">
        <f t="shared" si="15"/>
        <v>-1.3376274697748727</v>
      </c>
      <c r="F352" s="7">
        <f t="shared" si="16"/>
        <v>1.7892472478963279</v>
      </c>
    </row>
    <row r="353" spans="1:6">
      <c r="A353" s="8">
        <v>352</v>
      </c>
      <c r="B353" s="6">
        <v>44182</v>
      </c>
      <c r="C353" s="7">
        <v>69.452038169999994</v>
      </c>
      <c r="D353" s="7">
        <f t="shared" si="17"/>
        <v>68.592976533938469</v>
      </c>
      <c r="E353" s="7">
        <f t="shared" si="15"/>
        <v>0.85906163606152575</v>
      </c>
      <c r="F353" s="7">
        <f t="shared" si="16"/>
        <v>0.73798689455270527</v>
      </c>
    </row>
    <row r="354" spans="1:6">
      <c r="A354" s="8">
        <v>353</v>
      </c>
      <c r="B354" s="6">
        <v>44183</v>
      </c>
      <c r="C354" s="7">
        <v>71.426901079999993</v>
      </c>
      <c r="D354" s="7">
        <f t="shared" si="17"/>
        <v>69.388402344571205</v>
      </c>
      <c r="E354" s="7">
        <f t="shared" si="15"/>
        <v>2.0384987354287887</v>
      </c>
      <c r="F354" s="7">
        <f t="shared" si="16"/>
        <v>4.1554770943447705</v>
      </c>
    </row>
    <row r="355" spans="1:6">
      <c r="A355" s="8">
        <v>354</v>
      </c>
      <c r="B355" s="6">
        <v>44184</v>
      </c>
      <c r="C355" s="7">
        <v>70.610147400000002</v>
      </c>
      <c r="D355" s="7">
        <f t="shared" si="17"/>
        <v>71.234153800711681</v>
      </c>
      <c r="E355" s="7">
        <f t="shared" si="15"/>
        <v>-0.62400640071167857</v>
      </c>
      <c r="F355" s="7">
        <f t="shared" si="16"/>
        <v>0.38938398812914399</v>
      </c>
    </row>
    <row r="356" spans="1:6">
      <c r="A356" s="8">
        <v>355</v>
      </c>
      <c r="B356" s="6">
        <v>44185</v>
      </c>
      <c r="C356" s="7">
        <v>70.466961740000002</v>
      </c>
      <c r="D356" s="7">
        <f t="shared" si="17"/>
        <v>70.465073846061429</v>
      </c>
      <c r="E356" s="7">
        <f t="shared" si="15"/>
        <v>1.8878939385729154E-3</v>
      </c>
      <c r="F356" s="7">
        <f t="shared" si="16"/>
        <v>3.5641435233003548E-6</v>
      </c>
    </row>
    <row r="357" spans="1:6">
      <c r="A357" s="8">
        <v>356</v>
      </c>
      <c r="B357" s="6">
        <v>44186</v>
      </c>
      <c r="C357" s="7">
        <v>70.343280609999994</v>
      </c>
      <c r="D357" s="7">
        <f t="shared" si="17"/>
        <v>70.295529687325782</v>
      </c>
      <c r="E357" s="7">
        <f t="shared" si="15"/>
        <v>4.7750922674211438E-2</v>
      </c>
      <c r="F357" s="7">
        <f t="shared" si="16"/>
        <v>2.2801506162385202E-3</v>
      </c>
    </row>
    <row r="358" spans="1:6">
      <c r="A358" s="8">
        <v>357</v>
      </c>
      <c r="B358" s="6">
        <v>44187</v>
      </c>
      <c r="C358" s="7">
        <v>70.929399500000002</v>
      </c>
      <c r="D358" s="7">
        <f t="shared" si="17"/>
        <v>70.199074040757367</v>
      </c>
      <c r="E358" s="7">
        <f t="shared" si="15"/>
        <v>0.73032545924263559</v>
      </c>
      <c r="F358" s="7">
        <f t="shared" si="16"/>
        <v>0.53337527641796656</v>
      </c>
    </row>
    <row r="359" spans="1:6">
      <c r="A359" s="8">
        <v>358</v>
      </c>
      <c r="B359" s="6">
        <v>44188</v>
      </c>
      <c r="C359" s="7">
        <v>69.649901779999993</v>
      </c>
      <c r="D359" s="7">
        <f t="shared" si="17"/>
        <v>70.776948918455204</v>
      </c>
      <c r="E359" s="7">
        <f t="shared" si="15"/>
        <v>-1.127047138455211</v>
      </c>
      <c r="F359" s="7">
        <f t="shared" si="16"/>
        <v>1.2702352523000795</v>
      </c>
    </row>
    <row r="360" spans="1:6">
      <c r="A360" s="8">
        <v>359</v>
      </c>
      <c r="B360" s="6">
        <v>44189</v>
      </c>
      <c r="C360" s="7">
        <v>71.857768250000007</v>
      </c>
      <c r="D360" s="7">
        <f t="shared" si="17"/>
        <v>69.455286857279546</v>
      </c>
      <c r="E360" s="7">
        <f t="shared" si="15"/>
        <v>2.4024813927204605</v>
      </c>
      <c r="F360" s="7">
        <f t="shared" si="16"/>
        <v>5.7719168423680438</v>
      </c>
    </row>
    <row r="361" spans="1:6">
      <c r="A361" s="8">
        <v>360</v>
      </c>
      <c r="B361" s="6">
        <v>44190</v>
      </c>
      <c r="C361" s="7">
        <v>69.940529310000002</v>
      </c>
      <c r="D361" s="7">
        <f t="shared" si="17"/>
        <v>71.799780259610756</v>
      </c>
      <c r="E361" s="7">
        <f t="shared" si="15"/>
        <v>-1.8592509496107539</v>
      </c>
      <c r="F361" s="7">
        <f t="shared" si="16"/>
        <v>3.4568140936284899</v>
      </c>
    </row>
    <row r="362" spans="1:6">
      <c r="A362" s="8">
        <v>361</v>
      </c>
      <c r="B362" s="6">
        <v>44191</v>
      </c>
      <c r="C362" s="7">
        <v>69.041436020000006</v>
      </c>
      <c r="D362" s="7">
        <f t="shared" si="17"/>
        <v>69.631982518028252</v>
      </c>
      <c r="E362" s="7">
        <f t="shared" si="15"/>
        <v>-0.59054649802824599</v>
      </c>
      <c r="F362" s="7">
        <f t="shared" si="16"/>
        <v>0.34874516633342517</v>
      </c>
    </row>
    <row r="363" spans="1:6">
      <c r="A363" s="8">
        <v>362</v>
      </c>
      <c r="B363" s="6">
        <v>44192</v>
      </c>
      <c r="C363" s="7">
        <v>70.380795359999993</v>
      </c>
      <c r="D363" s="7">
        <f t="shared" si="17"/>
        <v>69.015451812503841</v>
      </c>
      <c r="E363" s="7">
        <f t="shared" si="15"/>
        <v>1.3653435474961526</v>
      </c>
      <c r="F363" s="7">
        <f t="shared" si="16"/>
        <v>1.8641630026893787</v>
      </c>
    </row>
    <row r="364" spans="1:6">
      <c r="A364" s="8">
        <v>363</v>
      </c>
      <c r="B364" s="6">
        <v>44193</v>
      </c>
      <c r="C364" s="7">
        <v>70.812779579999997</v>
      </c>
      <c r="D364" s="7">
        <f t="shared" si="17"/>
        <v>70.136321198083593</v>
      </c>
      <c r="E364" s="7">
        <f t="shared" si="15"/>
        <v>0.67645838191640451</v>
      </c>
      <c r="F364" s="7">
        <f t="shared" si="16"/>
        <v>0.45759594246496016</v>
      </c>
    </row>
    <row r="365" spans="1:6">
      <c r="A365" s="8">
        <v>364</v>
      </c>
      <c r="B365" s="6">
        <v>44194</v>
      </c>
      <c r="C365" s="7">
        <v>71.203415300000003</v>
      </c>
      <c r="D365" s="7">
        <f t="shared" si="17"/>
        <v>70.755484168949422</v>
      </c>
      <c r="E365" s="7">
        <f t="shared" si="15"/>
        <v>0.44793113105058069</v>
      </c>
      <c r="F365" s="7">
        <f t="shared" si="16"/>
        <v>0.2006422981642525</v>
      </c>
    </row>
    <row r="366" spans="1:6">
      <c r="A366" s="8">
        <v>365</v>
      </c>
      <c r="B366" s="6">
        <v>44195</v>
      </c>
      <c r="C366" s="7">
        <v>69.982112970000003</v>
      </c>
      <c r="D366" s="7">
        <f t="shared" si="17"/>
        <v>70.957849767067074</v>
      </c>
      <c r="E366" s="7">
        <f t="shared" si="15"/>
        <v>-0.97573679706707139</v>
      </c>
      <c r="F366" s="7">
        <f t="shared" si="16"/>
        <v>0.95206229715070723</v>
      </c>
    </row>
    <row r="367" spans="1:6">
      <c r="A367" s="8">
        <v>366</v>
      </c>
      <c r="B367" s="6">
        <v>44196</v>
      </c>
      <c r="C367" s="7">
        <v>69.553438209999996</v>
      </c>
      <c r="D367" s="7">
        <f t="shared" si="17"/>
        <v>69.879962659505892</v>
      </c>
      <c r="E367" s="7">
        <f t="shared" si="15"/>
        <v>-0.32652444950589654</v>
      </c>
      <c r="F367" s="7">
        <f t="shared" si="16"/>
        <v>0.10661821612512878</v>
      </c>
    </row>
    <row r="368" spans="1:6">
      <c r="A368" s="8">
        <v>367</v>
      </c>
      <c r="B368" s="6">
        <v>44197</v>
      </c>
      <c r="C368" s="7">
        <v>69.749661020000005</v>
      </c>
      <c r="D368" s="7">
        <f t="shared" si="17"/>
        <v>69.334976112083055</v>
      </c>
      <c r="E368" s="7">
        <f t="shared" si="15"/>
        <v>0.4146849079169499</v>
      </c>
      <c r="F368" s="7">
        <f t="shared" si="16"/>
        <v>0.17196357285408922</v>
      </c>
    </row>
    <row r="369" spans="1:6">
      <c r="A369" s="8">
        <v>368</v>
      </c>
      <c r="B369" s="6">
        <v>44198</v>
      </c>
      <c r="C369" s="7">
        <v>71.55302476</v>
      </c>
      <c r="D369" s="7">
        <f t="shared" si="17"/>
        <v>69.664229176139585</v>
      </c>
      <c r="E369" s="7">
        <f t="shared" si="15"/>
        <v>1.8887955838604142</v>
      </c>
      <c r="F369" s="7">
        <f t="shared" si="16"/>
        <v>3.5675487576106031</v>
      </c>
    </row>
    <row r="370" spans="1:6">
      <c r="A370" s="8">
        <v>369</v>
      </c>
      <c r="B370" s="6">
        <v>44199</v>
      </c>
      <c r="C370" s="7">
        <v>71.697345580000004</v>
      </c>
      <c r="D370" s="7">
        <f t="shared" si="17"/>
        <v>71.376154358430199</v>
      </c>
      <c r="E370" s="7">
        <f t="shared" si="15"/>
        <v>0.32119122156980495</v>
      </c>
      <c r="F370" s="7">
        <f t="shared" si="16"/>
        <v>0.10316380081350354</v>
      </c>
    </row>
    <row r="371" spans="1:6">
      <c r="A371" s="8">
        <v>370</v>
      </c>
      <c r="B371" s="6">
        <v>44200</v>
      </c>
      <c r="C371" s="7">
        <v>71.349172030000005</v>
      </c>
      <c r="D371" s="7">
        <f t="shared" si="17"/>
        <v>71.560591608146296</v>
      </c>
      <c r="E371" s="7">
        <f t="shared" si="15"/>
        <v>-0.21141957814629109</v>
      </c>
      <c r="F371" s="7">
        <f t="shared" si="16"/>
        <v>4.4698238023555686E-2</v>
      </c>
    </row>
    <row r="372" spans="1:6">
      <c r="A372" s="8">
        <v>371</v>
      </c>
      <c r="B372" s="6">
        <v>44201</v>
      </c>
      <c r="C372" s="7">
        <v>69.642373449999994</v>
      </c>
      <c r="D372" s="7">
        <f t="shared" si="17"/>
        <v>71.159463406982866</v>
      </c>
      <c r="E372" s="7">
        <f t="shared" si="15"/>
        <v>-1.517089956982872</v>
      </c>
      <c r="F372" s="7">
        <f t="shared" si="16"/>
        <v>2.3015619375782923</v>
      </c>
    </row>
    <row r="373" spans="1:6">
      <c r="A373" s="8">
        <v>372</v>
      </c>
      <c r="B373" s="6">
        <v>44202</v>
      </c>
      <c r="C373" s="7">
        <v>70.349555100000003</v>
      </c>
      <c r="D373" s="7">
        <f t="shared" si="17"/>
        <v>69.471858162472444</v>
      </c>
      <c r="E373" s="7">
        <f t="shared" si="15"/>
        <v>0.87769693752755984</v>
      </c>
      <c r="F373" s="7">
        <f t="shared" si="16"/>
        <v>0.77035191414525728</v>
      </c>
    </row>
    <row r="374" spans="1:6">
      <c r="A374" s="8">
        <v>373</v>
      </c>
      <c r="B374" s="6">
        <v>44203</v>
      </c>
      <c r="C374" s="7">
        <v>70.542602689999995</v>
      </c>
      <c r="D374" s="7">
        <f t="shared" si="17"/>
        <v>70.229339146161266</v>
      </c>
      <c r="E374" s="7">
        <f t="shared" si="15"/>
        <v>0.31326354383872967</v>
      </c>
      <c r="F374" s="7">
        <f t="shared" si="16"/>
        <v>9.8134047898399704E-2</v>
      </c>
    </row>
    <row r="375" spans="1:6">
      <c r="A375" s="8">
        <v>374</v>
      </c>
      <c r="B375" s="6">
        <v>44204</v>
      </c>
      <c r="C375" s="7">
        <v>71.609840399999996</v>
      </c>
      <c r="D375" s="7">
        <f t="shared" si="17"/>
        <v>70.356315034137438</v>
      </c>
      <c r="E375" s="7">
        <f t="shared" si="15"/>
        <v>1.2535253658625578</v>
      </c>
      <c r="F375" s="7">
        <f t="shared" si="16"/>
        <v>1.5713258428608594</v>
      </c>
    </row>
    <row r="376" spans="1:6">
      <c r="A376" s="8">
        <v>375</v>
      </c>
      <c r="B376" s="6">
        <v>44205</v>
      </c>
      <c r="C376" s="7">
        <v>72.817183589999999</v>
      </c>
      <c r="D376" s="7">
        <f t="shared" si="17"/>
        <v>71.510482914439933</v>
      </c>
      <c r="E376" s="7">
        <f t="shared" si="15"/>
        <v>1.3067006755600659</v>
      </c>
      <c r="F376" s="7">
        <f t="shared" si="16"/>
        <v>1.7074666555091325</v>
      </c>
    </row>
    <row r="377" spans="1:6">
      <c r="A377" s="8">
        <v>376</v>
      </c>
      <c r="B377" s="6">
        <v>44206</v>
      </c>
      <c r="C377" s="7">
        <v>70.900592259999996</v>
      </c>
      <c r="D377" s="7">
        <f t="shared" si="17"/>
        <v>72.63064401677255</v>
      </c>
      <c r="E377" s="7">
        <f t="shared" si="15"/>
        <v>-1.7300517567725535</v>
      </c>
      <c r="F377" s="7">
        <f t="shared" si="16"/>
        <v>2.9930790811117989</v>
      </c>
    </row>
    <row r="378" spans="1:6">
      <c r="A378" s="8">
        <v>377</v>
      </c>
      <c r="B378" s="6">
        <v>44207</v>
      </c>
      <c r="C378" s="7">
        <v>69.288897149999997</v>
      </c>
      <c r="D378" s="7">
        <f t="shared" si="17"/>
        <v>70.715097085728573</v>
      </c>
      <c r="E378" s="7">
        <f t="shared" si="15"/>
        <v>-1.426199935728576</v>
      </c>
      <c r="F378" s="7">
        <f t="shared" si="16"/>
        <v>2.0340462566721942</v>
      </c>
    </row>
    <row r="379" spans="1:6">
      <c r="A379" s="8">
        <v>378</v>
      </c>
      <c r="B379" s="6">
        <v>44208</v>
      </c>
      <c r="C379" s="7">
        <v>68.439115619999995</v>
      </c>
      <c r="D379" s="7">
        <f t="shared" si="17"/>
        <v>69.118622482797207</v>
      </c>
      <c r="E379" s="7">
        <f t="shared" si="15"/>
        <v>-0.6795068627972114</v>
      </c>
      <c r="F379" s="7">
        <f t="shared" si="16"/>
        <v>0.46172957658850827</v>
      </c>
    </row>
    <row r="380" spans="1:6">
      <c r="A380" s="8">
        <v>379</v>
      </c>
      <c r="B380" s="6">
        <v>44209</v>
      </c>
      <c r="C380" s="7">
        <v>69.133220719999997</v>
      </c>
      <c r="D380" s="7">
        <f t="shared" si="17"/>
        <v>68.280377594746554</v>
      </c>
      <c r="E380" s="7">
        <f t="shared" si="15"/>
        <v>0.85284312525344319</v>
      </c>
      <c r="F380" s="7">
        <f t="shared" si="16"/>
        <v>0.72734139629206018</v>
      </c>
    </row>
    <row r="381" spans="1:6">
      <c r="A381" s="8">
        <v>380</v>
      </c>
      <c r="B381" s="6">
        <v>44210</v>
      </c>
      <c r="C381" s="7">
        <v>69.566172289999997</v>
      </c>
      <c r="D381" s="7">
        <f t="shared" si="17"/>
        <v>69.006317014625708</v>
      </c>
      <c r="E381" s="7">
        <f t="shared" si="15"/>
        <v>0.55985527537428936</v>
      </c>
      <c r="F381" s="7">
        <f t="shared" si="16"/>
        <v>0.31343792936442139</v>
      </c>
    </row>
    <row r="382" spans="1:6">
      <c r="A382" s="8">
        <v>381</v>
      </c>
      <c r="B382" s="6">
        <v>44211</v>
      </c>
      <c r="C382" s="7">
        <v>70.359241560000001</v>
      </c>
      <c r="D382" s="7">
        <f t="shared" si="17"/>
        <v>69.398008685621633</v>
      </c>
      <c r="E382" s="7">
        <f t="shared" si="15"/>
        <v>0.9612328743783678</v>
      </c>
      <c r="F382" s="7">
        <f t="shared" si="16"/>
        <v>0.92396863878569901</v>
      </c>
    </row>
    <row r="383" spans="1:6">
      <c r="A383" s="8">
        <v>382</v>
      </c>
      <c r="B383" s="6">
        <v>44212</v>
      </c>
      <c r="C383" s="7">
        <v>70.201126430000002</v>
      </c>
      <c r="D383" s="7">
        <f t="shared" si="17"/>
        <v>70.239231351154984</v>
      </c>
      <c r="E383" s="7">
        <f t="shared" si="15"/>
        <v>-3.8104921154982208E-2</v>
      </c>
      <c r="F383" s="7">
        <f t="shared" si="16"/>
        <v>1.4519850162274105E-3</v>
      </c>
    </row>
    <row r="384" spans="1:6">
      <c r="A384" s="8">
        <v>383</v>
      </c>
      <c r="B384" s="6">
        <v>44213</v>
      </c>
      <c r="C384" s="7">
        <v>69.651304109999998</v>
      </c>
      <c r="D384" s="7">
        <f t="shared" si="17"/>
        <v>70.005606115300282</v>
      </c>
      <c r="E384" s="7">
        <f t="shared" si="15"/>
        <v>-0.35430200530028344</v>
      </c>
      <c r="F384" s="7">
        <f t="shared" si="16"/>
        <v>0.12552991095980207</v>
      </c>
    </row>
    <row r="385" spans="1:6">
      <c r="A385" s="8">
        <v>384</v>
      </c>
      <c r="B385" s="6">
        <v>44214</v>
      </c>
      <c r="C385" s="7">
        <v>70.795029670000005</v>
      </c>
      <c r="D385" s="7">
        <f t="shared" si="17"/>
        <v>69.521212300827614</v>
      </c>
      <c r="E385" s="7">
        <f t="shared" si="15"/>
        <v>1.2738173691723915</v>
      </c>
      <c r="F385" s="7">
        <f t="shared" si="16"/>
        <v>1.6226106900052728</v>
      </c>
    </row>
    <row r="386" spans="1:6">
      <c r="A386" s="8">
        <v>385</v>
      </c>
      <c r="B386" s="6">
        <v>44215</v>
      </c>
      <c r="C386" s="7">
        <v>69.643746340000007</v>
      </c>
      <c r="D386" s="7">
        <f t="shared" si="17"/>
        <v>70.645926247035959</v>
      </c>
      <c r="E386" s="7">
        <f t="shared" si="15"/>
        <v>-1.0021799070359521</v>
      </c>
      <c r="F386" s="7">
        <f t="shared" si="16"/>
        <v>1.0043645660665894</v>
      </c>
    </row>
    <row r="387" spans="1:6">
      <c r="A387" s="8">
        <v>386</v>
      </c>
      <c r="B387" s="6">
        <v>44216</v>
      </c>
      <c r="C387" s="7">
        <v>69.98084686</v>
      </c>
      <c r="D387" s="7">
        <f t="shared" si="17"/>
        <v>69.449691307475007</v>
      </c>
      <c r="E387" s="7">
        <f t="shared" si="15"/>
        <v>0.53115555252499291</v>
      </c>
      <c r="F387" s="7">
        <f t="shared" si="16"/>
        <v>0.2821262209781305</v>
      </c>
    </row>
    <row r="388" spans="1:6">
      <c r="A388" s="8">
        <v>387</v>
      </c>
      <c r="B388" s="6">
        <v>44217</v>
      </c>
      <c r="C388" s="7">
        <v>69.689442479999997</v>
      </c>
      <c r="D388" s="7">
        <f t="shared" si="17"/>
        <v>69.874458823147137</v>
      </c>
      <c r="E388" s="7">
        <f t="shared" ref="E388:E401" si="18">C388-D388</f>
        <v>-0.18501634314714011</v>
      </c>
      <c r="F388" s="7">
        <f t="shared" ref="F388:F401" si="19">E388^2</f>
        <v>3.4231047231540294E-2</v>
      </c>
    </row>
    <row r="389" spans="1:6">
      <c r="A389" s="8">
        <v>388</v>
      </c>
      <c r="B389" s="6">
        <v>44218</v>
      </c>
      <c r="C389" s="7">
        <v>70.543779939999993</v>
      </c>
      <c r="D389" s="7">
        <f t="shared" ref="D389:D401" si="20">0.03559*C388+0.96*C387+0+0.99*E388</f>
        <v>69.478694063747525</v>
      </c>
      <c r="E389" s="7">
        <f t="shared" si="18"/>
        <v>1.0650858762524678</v>
      </c>
      <c r="F389" s="7">
        <f t="shared" si="19"/>
        <v>1.1344079237924871</v>
      </c>
    </row>
    <row r="390" spans="1:6">
      <c r="A390" s="8">
        <v>389</v>
      </c>
      <c r="B390" s="6">
        <v>44219</v>
      </c>
      <c r="C390" s="7">
        <v>71.804696759999999</v>
      </c>
      <c r="D390" s="7">
        <f t="shared" si="20"/>
        <v>70.466952926354537</v>
      </c>
      <c r="E390" s="7">
        <f t="shared" si="18"/>
        <v>1.3377438336454617</v>
      </c>
      <c r="F390" s="7">
        <f t="shared" si="19"/>
        <v>1.7895585644564567</v>
      </c>
    </row>
    <row r="391" spans="1:6">
      <c r="A391" s="8">
        <v>390</v>
      </c>
      <c r="B391" s="6">
        <v>44220</v>
      </c>
      <c r="C391" s="7">
        <v>70.616585819999997</v>
      </c>
      <c r="D391" s="7">
        <f t="shared" si="20"/>
        <v>71.601924295397396</v>
      </c>
      <c r="E391" s="7">
        <f t="shared" si="18"/>
        <v>-0.98533847539739838</v>
      </c>
      <c r="F391" s="7">
        <f t="shared" si="19"/>
        <v>0.97089191109846951</v>
      </c>
    </row>
    <row r="392" spans="1:6">
      <c r="A392" s="8">
        <v>391</v>
      </c>
      <c r="B392" s="6">
        <v>44221</v>
      </c>
      <c r="C392" s="7">
        <v>70.269575369999998</v>
      </c>
      <c r="D392" s="7">
        <f t="shared" si="20"/>
        <v>70.470268088290368</v>
      </c>
      <c r="E392" s="7">
        <f t="shared" si="18"/>
        <v>-0.2006927182903695</v>
      </c>
      <c r="F392" s="7">
        <f t="shared" si="19"/>
        <v>4.0277567174777609E-2</v>
      </c>
    </row>
    <row r="393" spans="1:6">
      <c r="A393" s="8">
        <v>392</v>
      </c>
      <c r="B393" s="6">
        <v>44222</v>
      </c>
      <c r="C393" s="7">
        <v>70.155562340000003</v>
      </c>
      <c r="D393" s="7">
        <f t="shared" si="20"/>
        <v>70.09413078351082</v>
      </c>
      <c r="E393" s="7">
        <f t="shared" si="18"/>
        <v>6.1431556489182526E-2</v>
      </c>
      <c r="F393" s="7">
        <f t="shared" si="19"/>
        <v>3.7738361326836237E-3</v>
      </c>
    </row>
    <row r="394" spans="1:6">
      <c r="A394" s="8">
        <v>393</v>
      </c>
      <c r="B394" s="6">
        <v>44223</v>
      </c>
      <c r="C394" s="7">
        <v>69.213042389999998</v>
      </c>
      <c r="D394" s="7">
        <f t="shared" si="20"/>
        <v>70.016446059804878</v>
      </c>
      <c r="E394" s="7">
        <f t="shared" si="18"/>
        <v>-0.80340366980487943</v>
      </c>
      <c r="F394" s="7">
        <f t="shared" si="19"/>
        <v>0.64545745665594778</v>
      </c>
    </row>
    <row r="395" spans="1:6">
      <c r="A395" s="8">
        <v>394</v>
      </c>
      <c r="B395" s="6">
        <v>44224</v>
      </c>
      <c r="C395" s="7">
        <v>69.721944239999999</v>
      </c>
      <c r="D395" s="7">
        <f t="shared" si="20"/>
        <v>69.017262391953267</v>
      </c>
      <c r="E395" s="7">
        <f t="shared" si="18"/>
        <v>0.70468184804673228</v>
      </c>
      <c r="F395" s="7">
        <f t="shared" si="19"/>
        <v>0.49657650696655786</v>
      </c>
    </row>
    <row r="396" spans="1:6">
      <c r="A396" s="8">
        <v>395</v>
      </c>
      <c r="B396" s="6">
        <v>44225</v>
      </c>
      <c r="C396" s="7">
        <v>70.358374330000004</v>
      </c>
      <c r="D396" s="7">
        <f t="shared" si="20"/>
        <v>69.623559719467863</v>
      </c>
      <c r="E396" s="7">
        <f t="shared" si="18"/>
        <v>0.73481461053214048</v>
      </c>
      <c r="F396" s="7">
        <f t="shared" si="19"/>
        <v>0.53995251185150128</v>
      </c>
    </row>
    <row r="397" spans="1:6">
      <c r="A397" s="8">
        <v>396</v>
      </c>
      <c r="B397" s="6">
        <v>44226</v>
      </c>
      <c r="C397" s="7">
        <v>70.711312149999998</v>
      </c>
      <c r="D397" s="7">
        <f t="shared" si="20"/>
        <v>70.164587477231521</v>
      </c>
      <c r="E397" s="7">
        <f t="shared" si="18"/>
        <v>0.54672467276847669</v>
      </c>
      <c r="F397" s="7">
        <f t="shared" si="19"/>
        <v>0.29890786781379791</v>
      </c>
    </row>
    <row r="398" spans="1:6">
      <c r="A398" s="8">
        <v>397</v>
      </c>
      <c r="B398" s="6">
        <v>44227</v>
      </c>
      <c r="C398" s="7">
        <v>70.120876089999996</v>
      </c>
      <c r="D398" s="7">
        <f t="shared" si="20"/>
        <v>70.601912382259286</v>
      </c>
      <c r="E398" s="7">
        <f t="shared" si="18"/>
        <v>-0.48103629225929012</v>
      </c>
      <c r="F398" s="7">
        <f t="shared" si="19"/>
        <v>0.23139591447056518</v>
      </c>
    </row>
    <row r="399" spans="1:6">
      <c r="A399" s="8">
        <v>398</v>
      </c>
      <c r="B399" s="6">
        <v>44228</v>
      </c>
      <c r="C399" s="7">
        <v>69.953324309999999</v>
      </c>
      <c r="D399" s="7">
        <f t="shared" si="20"/>
        <v>69.902235714706407</v>
      </c>
      <c r="E399" s="7">
        <f t="shared" si="18"/>
        <v>5.1088595293592221E-2</v>
      </c>
      <c r="F399" s="7">
        <f t="shared" si="19"/>
        <v>2.6100445690724534E-3</v>
      </c>
    </row>
    <row r="400" spans="1:6">
      <c r="A400" s="8">
        <v>399</v>
      </c>
      <c r="B400" s="6">
        <v>44229</v>
      </c>
      <c r="C400" s="7">
        <v>68.788120809999995</v>
      </c>
      <c r="D400" s="7">
        <f t="shared" si="20"/>
        <v>69.85625756793354</v>
      </c>
      <c r="E400" s="7">
        <f t="shared" si="18"/>
        <v>-1.0681367579335443</v>
      </c>
      <c r="F400" s="7">
        <f t="shared" si="19"/>
        <v>1.1409161336487832</v>
      </c>
    </row>
    <row r="401" spans="1:6">
      <c r="A401" s="8">
        <v>400</v>
      </c>
      <c r="B401" s="6">
        <v>44230</v>
      </c>
      <c r="C401" s="7">
        <v>68.928761120000004</v>
      </c>
      <c r="D401" s="7">
        <f t="shared" si="20"/>
        <v>68.545905166873695</v>
      </c>
      <c r="E401" s="7">
        <f t="shared" si="18"/>
        <v>0.3828559531263096</v>
      </c>
      <c r="F401" s="7">
        <f t="shared" si="19"/>
        <v>0.14657868084425496</v>
      </c>
    </row>
  </sheetData>
  <mergeCells count="1">
    <mergeCell ref="G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1850-7E63-4C72-BE50-834C9BA7DDFC}">
  <dimension ref="A1:H401"/>
  <sheetViews>
    <sheetView topLeftCell="E1" zoomScale="65" workbookViewId="0">
      <selection activeCell="F3" sqref="F3"/>
    </sheetView>
  </sheetViews>
  <sheetFormatPr defaultRowHeight="14.45"/>
  <cols>
    <col min="2" max="2" width="10.5703125" customWidth="1"/>
    <col min="3" max="3" width="14.28515625" bestFit="1" customWidth="1"/>
    <col min="4" max="4" width="26.140625" customWidth="1"/>
    <col min="5" max="5" width="14.7109375" customWidth="1"/>
    <col min="6" max="6" width="9.140625" bestFit="1" customWidth="1"/>
    <col min="7" max="7" width="11.5703125" customWidth="1"/>
    <col min="8" max="8" width="9.28515625" bestFit="1" customWidth="1"/>
  </cols>
  <sheetData>
    <row r="1" spans="1:8" ht="29.1">
      <c r="A1" s="9" t="s">
        <v>0</v>
      </c>
      <c r="B1" s="9" t="s">
        <v>1</v>
      </c>
      <c r="C1" s="9" t="s">
        <v>2</v>
      </c>
      <c r="D1" s="10" t="s">
        <v>9</v>
      </c>
      <c r="E1" s="9" t="s">
        <v>4</v>
      </c>
      <c r="F1" s="9" t="s">
        <v>5</v>
      </c>
    </row>
    <row r="2" spans="1:8">
      <c r="A2" s="11">
        <v>1</v>
      </c>
      <c r="B2" s="12">
        <v>43831</v>
      </c>
      <c r="C2" s="11">
        <v>68.346715680000003</v>
      </c>
      <c r="D2" s="11"/>
      <c r="E2" s="11"/>
      <c r="F2" s="11"/>
      <c r="G2" s="35" t="s">
        <v>10</v>
      </c>
      <c r="H2" s="36"/>
    </row>
    <row r="3" spans="1:8">
      <c r="A3" s="11">
        <v>2</v>
      </c>
      <c r="B3" s="12">
        <v>43832</v>
      </c>
      <c r="C3" s="11">
        <v>69.648484909999993</v>
      </c>
      <c r="D3" s="11"/>
      <c r="E3" s="11"/>
      <c r="F3" s="11"/>
      <c r="G3" s="3">
        <f>AVERAGE(F4:F400)</f>
        <v>2.4432005150696088</v>
      </c>
      <c r="H3" s="2" t="s">
        <v>7</v>
      </c>
    </row>
    <row r="4" spans="1:8">
      <c r="A4" s="11">
        <v>3</v>
      </c>
      <c r="B4" s="12">
        <v>43833</v>
      </c>
      <c r="C4" s="11">
        <v>69.340707750000007</v>
      </c>
      <c r="D4" s="11">
        <f>0.03559*C3+0.96*C2+0</f>
        <v>68.091636630746905</v>
      </c>
      <c r="E4" s="11">
        <f t="shared" ref="E4:E67" si="0">C4-D4</f>
        <v>1.2490711192531023</v>
      </c>
      <c r="F4" s="11">
        <f t="shared" ref="F4:F67" si="1">E4^2</f>
        <v>1.5601786609521977</v>
      </c>
      <c r="G4" s="3">
        <f>SQRT(G3)</f>
        <v>1.5630740593681443</v>
      </c>
      <c r="H4" s="2" t="s">
        <v>8</v>
      </c>
    </row>
    <row r="5" spans="1:8">
      <c r="A5" s="11">
        <v>4</v>
      </c>
      <c r="B5" s="12">
        <v>43834</v>
      </c>
      <c r="C5" s="11">
        <v>69.947982330000002</v>
      </c>
      <c r="D5" s="11">
        <f t="shared" ref="D5:D68" si="2">0.03559*C4+0.96*C3</f>
        <v>69.330381302422495</v>
      </c>
      <c r="E5" s="11">
        <f t="shared" si="0"/>
        <v>0.61760102757750701</v>
      </c>
      <c r="F5" s="11">
        <f t="shared" si="1"/>
        <v>0.38143102926479255</v>
      </c>
    </row>
    <row r="6" spans="1:8">
      <c r="A6" s="11">
        <v>5</v>
      </c>
      <c r="B6" s="12">
        <v>43835</v>
      </c>
      <c r="C6" s="11">
        <v>68.760614149999995</v>
      </c>
      <c r="D6" s="11">
        <f t="shared" si="2"/>
        <v>69.056528131124708</v>
      </c>
      <c r="E6" s="11">
        <f t="shared" si="0"/>
        <v>-0.29591398112471268</v>
      </c>
      <c r="F6" s="11">
        <f t="shared" si="1"/>
        <v>8.7565084225076806E-2</v>
      </c>
    </row>
    <row r="7" spans="1:8">
      <c r="A7" s="11">
        <v>6</v>
      </c>
      <c r="B7" s="12">
        <v>43836</v>
      </c>
      <c r="C7" s="11">
        <v>68.681916150000006</v>
      </c>
      <c r="D7" s="11">
        <f t="shared" si="2"/>
        <v>69.597253294398499</v>
      </c>
      <c r="E7" s="11">
        <f t="shared" si="0"/>
        <v>-0.91533714439849234</v>
      </c>
      <c r="F7" s="11">
        <f t="shared" si="1"/>
        <v>0.83784208791558645</v>
      </c>
    </row>
    <row r="8" spans="1:8">
      <c r="A8" s="11">
        <v>7</v>
      </c>
      <c r="B8" s="12">
        <v>43837</v>
      </c>
      <c r="C8" s="11">
        <v>69.470476039999994</v>
      </c>
      <c r="D8" s="11">
        <f t="shared" si="2"/>
        <v>68.454578979778489</v>
      </c>
      <c r="E8" s="11">
        <f t="shared" si="0"/>
        <v>1.0158970602215049</v>
      </c>
      <c r="F8" s="11">
        <f t="shared" si="1"/>
        <v>1.032046836966696</v>
      </c>
    </row>
    <row r="9" spans="1:8">
      <c r="A9" s="11">
        <v>8</v>
      </c>
      <c r="B9" s="12">
        <v>43838</v>
      </c>
      <c r="C9" s="11">
        <v>68.417010970000007</v>
      </c>
      <c r="D9" s="11">
        <f t="shared" si="2"/>
        <v>68.407093746263598</v>
      </c>
      <c r="E9" s="11">
        <f t="shared" si="0"/>
        <v>9.9172237364086868E-3</v>
      </c>
      <c r="F9" s="11">
        <f t="shared" si="1"/>
        <v>9.8351326637987878E-5</v>
      </c>
    </row>
    <row r="10" spans="1:8">
      <c r="A10" s="11">
        <v>9</v>
      </c>
      <c r="B10" s="12">
        <v>43839</v>
      </c>
      <c r="C10" s="11">
        <v>69.324211640000001</v>
      </c>
      <c r="D10" s="11">
        <f t="shared" si="2"/>
        <v>69.126618418822289</v>
      </c>
      <c r="E10" s="11">
        <f t="shared" si="0"/>
        <v>0.19759322117771205</v>
      </c>
      <c r="F10" s="11">
        <f t="shared" si="1"/>
        <v>3.9043081055384232E-2</v>
      </c>
    </row>
    <row r="11" spans="1:8">
      <c r="A11" s="11">
        <v>10</v>
      </c>
      <c r="B11" s="12">
        <v>43840</v>
      </c>
      <c r="C11" s="11">
        <v>69.690276130000001</v>
      </c>
      <c r="D11" s="11">
        <f t="shared" si="2"/>
        <v>68.147579223467602</v>
      </c>
      <c r="E11" s="11">
        <f t="shared" si="0"/>
        <v>1.5426969065323988</v>
      </c>
      <c r="F11" s="11">
        <f t="shared" si="1"/>
        <v>2.3799137454246329</v>
      </c>
    </row>
    <row r="12" spans="1:8">
      <c r="A12" s="11">
        <v>11</v>
      </c>
      <c r="B12" s="12">
        <v>43841</v>
      </c>
      <c r="C12" s="11">
        <v>68.274545989999993</v>
      </c>
      <c r="D12" s="11">
        <f t="shared" si="2"/>
        <v>69.031520101866704</v>
      </c>
      <c r="E12" s="11">
        <f t="shared" si="0"/>
        <v>-0.75697411186671104</v>
      </c>
      <c r="F12" s="11">
        <f t="shared" si="1"/>
        <v>0.57300980603639595</v>
      </c>
    </row>
    <row r="13" spans="1:8">
      <c r="A13" s="11">
        <v>12</v>
      </c>
      <c r="B13" s="12">
        <v>43842</v>
      </c>
      <c r="C13" s="11">
        <v>67.754401999999999</v>
      </c>
      <c r="D13" s="11">
        <f t="shared" si="2"/>
        <v>69.332556176584092</v>
      </c>
      <c r="E13" s="11">
        <f t="shared" si="0"/>
        <v>-1.5781541765840927</v>
      </c>
      <c r="F13" s="11">
        <f t="shared" si="1"/>
        <v>2.490570605069816</v>
      </c>
    </row>
    <row r="14" spans="1:8">
      <c r="A14" s="11">
        <v>13</v>
      </c>
      <c r="B14" s="12">
        <v>43843</v>
      </c>
      <c r="C14" s="11">
        <v>69.775397490000003</v>
      </c>
      <c r="D14" s="11">
        <f t="shared" si="2"/>
        <v>67.954943317579989</v>
      </c>
      <c r="E14" s="11">
        <f t="shared" si="0"/>
        <v>1.8204541724200141</v>
      </c>
      <c r="F14" s="11">
        <f t="shared" si="1"/>
        <v>3.3140533938814385</v>
      </c>
    </row>
    <row r="15" spans="1:8">
      <c r="A15" s="11">
        <v>14</v>
      </c>
      <c r="B15" s="12">
        <v>43844</v>
      </c>
      <c r="C15" s="11">
        <v>71.434473879999999</v>
      </c>
      <c r="D15" s="11">
        <f t="shared" si="2"/>
        <v>67.527532316669095</v>
      </c>
      <c r="E15" s="11">
        <f t="shared" si="0"/>
        <v>3.9069415633309035</v>
      </c>
      <c r="F15" s="11">
        <f t="shared" si="1"/>
        <v>15.264192379282525</v>
      </c>
    </row>
    <row r="16" spans="1:8">
      <c r="A16" s="11">
        <v>15</v>
      </c>
      <c r="B16" s="12">
        <v>43845</v>
      </c>
      <c r="C16" s="11">
        <v>70.796156440000004</v>
      </c>
      <c r="D16" s="11">
        <f t="shared" si="2"/>
        <v>69.526734515789201</v>
      </c>
      <c r="E16" s="11">
        <f t="shared" si="0"/>
        <v>1.2694219242108034</v>
      </c>
      <c r="F16" s="11">
        <f t="shared" si="1"/>
        <v>1.6114320216670586</v>
      </c>
    </row>
    <row r="17" spans="1:6">
      <c r="A17" s="11">
        <v>16</v>
      </c>
      <c r="B17" s="12">
        <v>43846</v>
      </c>
      <c r="C17" s="11">
        <v>70.452113510000004</v>
      </c>
      <c r="D17" s="11">
        <f t="shared" si="2"/>
        <v>71.096730132499587</v>
      </c>
      <c r="E17" s="11">
        <f t="shared" si="0"/>
        <v>-0.64461662249958351</v>
      </c>
      <c r="F17" s="11">
        <f t="shared" si="1"/>
        <v>0.41553059000277054</v>
      </c>
    </row>
    <row r="18" spans="1:6">
      <c r="A18" s="11">
        <v>17</v>
      </c>
      <c r="B18" s="12">
        <v>43847</v>
      </c>
      <c r="C18" s="11">
        <v>70.256264740000006</v>
      </c>
      <c r="D18" s="11">
        <f t="shared" si="2"/>
        <v>70.471700902220903</v>
      </c>
      <c r="E18" s="11">
        <f t="shared" si="0"/>
        <v>-0.21543616222089668</v>
      </c>
      <c r="F18" s="11">
        <f t="shared" si="1"/>
        <v>4.6412739992468512E-2</v>
      </c>
    </row>
    <row r="19" spans="1:6">
      <c r="A19" s="11">
        <v>18</v>
      </c>
      <c r="B19" s="12">
        <v>43848</v>
      </c>
      <c r="C19" s="11">
        <v>70.347747769999998</v>
      </c>
      <c r="D19" s="11">
        <f t="shared" si="2"/>
        <v>70.134449431696595</v>
      </c>
      <c r="E19" s="11">
        <f t="shared" si="0"/>
        <v>0.21329833830340306</v>
      </c>
      <c r="F19" s="11">
        <f t="shared" si="1"/>
        <v>4.5496181122992981E-2</v>
      </c>
    </row>
    <row r="20" spans="1:6">
      <c r="A20" s="11">
        <v>19</v>
      </c>
      <c r="B20" s="12">
        <v>43849</v>
      </c>
      <c r="C20" s="11">
        <v>71.417753250000004</v>
      </c>
      <c r="D20" s="11">
        <f t="shared" si="2"/>
        <v>69.949690493534305</v>
      </c>
      <c r="E20" s="11">
        <f t="shared" si="0"/>
        <v>1.4680627564656987</v>
      </c>
      <c r="F20" s="11">
        <f t="shared" si="1"/>
        <v>2.1552082569216653</v>
      </c>
    </row>
    <row r="21" spans="1:6">
      <c r="A21" s="11">
        <v>20</v>
      </c>
      <c r="B21" s="12">
        <v>43850</v>
      </c>
      <c r="C21" s="11">
        <v>69.239329220000002</v>
      </c>
      <c r="D21" s="11">
        <f t="shared" si="2"/>
        <v>70.07559569736749</v>
      </c>
      <c r="E21" s="11">
        <f t="shared" si="0"/>
        <v>-0.83626647736748794</v>
      </c>
      <c r="F21" s="11">
        <f t="shared" si="1"/>
        <v>0.69934162116862719</v>
      </c>
    </row>
    <row r="22" spans="1:6">
      <c r="A22" s="11">
        <v>21</v>
      </c>
      <c r="B22" s="12">
        <v>43851</v>
      </c>
      <c r="C22" s="11">
        <v>69.794732289999999</v>
      </c>
      <c r="D22" s="11">
        <f t="shared" si="2"/>
        <v>71.025270846939804</v>
      </c>
      <c r="E22" s="11">
        <f t="shared" si="0"/>
        <v>-1.2305385569398055</v>
      </c>
      <c r="F22" s="11">
        <f t="shared" si="1"/>
        <v>1.5142251401154989</v>
      </c>
    </row>
    <row r="23" spans="1:6">
      <c r="A23" s="11">
        <v>22</v>
      </c>
      <c r="B23" s="12">
        <v>43852</v>
      </c>
      <c r="C23" s="11">
        <v>69.723031649999996</v>
      </c>
      <c r="D23" s="11">
        <f t="shared" si="2"/>
        <v>68.953750573401095</v>
      </c>
      <c r="E23" s="11">
        <f t="shared" si="0"/>
        <v>0.76928107659890088</v>
      </c>
      <c r="F23" s="11">
        <f t="shared" si="1"/>
        <v>0.59179337481316396</v>
      </c>
    </row>
    <row r="24" spans="1:6">
      <c r="A24" s="11">
        <v>23</v>
      </c>
      <c r="B24" s="12">
        <v>43853</v>
      </c>
      <c r="C24" s="11">
        <v>69.671140370000003</v>
      </c>
      <c r="D24" s="11">
        <f t="shared" si="2"/>
        <v>69.484385694823501</v>
      </c>
      <c r="E24" s="11">
        <f t="shared" si="0"/>
        <v>0.18675467517650191</v>
      </c>
      <c r="F24" s="11">
        <f t="shared" si="1"/>
        <v>3.4877308700280739E-2</v>
      </c>
    </row>
    <row r="25" spans="1:6">
      <c r="A25" s="11">
        <v>24</v>
      </c>
      <c r="B25" s="12">
        <v>43854</v>
      </c>
      <c r="C25" s="11">
        <v>69.583524999999995</v>
      </c>
      <c r="D25" s="11">
        <f t="shared" si="2"/>
        <v>69.413706269768298</v>
      </c>
      <c r="E25" s="11">
        <f t="shared" si="0"/>
        <v>0.16981873023169669</v>
      </c>
      <c r="F25" s="11">
        <f t="shared" si="1"/>
        <v>2.8838401137505777E-2</v>
      </c>
    </row>
    <row r="26" spans="1:6">
      <c r="A26" s="11">
        <v>25</v>
      </c>
      <c r="B26" s="12">
        <v>43855</v>
      </c>
      <c r="C26" s="11">
        <v>69.473625769999998</v>
      </c>
      <c r="D26" s="11">
        <f t="shared" si="2"/>
        <v>69.360772409950002</v>
      </c>
      <c r="E26" s="11">
        <f t="shared" si="0"/>
        <v>0.11285336004999635</v>
      </c>
      <c r="F26" s="11">
        <f t="shared" si="1"/>
        <v>1.2735880874574113E-2</v>
      </c>
    </row>
    <row r="27" spans="1:6">
      <c r="A27" s="11">
        <v>26</v>
      </c>
      <c r="B27" s="12">
        <v>43856</v>
      </c>
      <c r="C27" s="11">
        <v>68.582921769999999</v>
      </c>
      <c r="D27" s="11">
        <f t="shared" si="2"/>
        <v>69.272750341154293</v>
      </c>
      <c r="E27" s="11">
        <f t="shared" si="0"/>
        <v>-0.68982857115429397</v>
      </c>
      <c r="F27" s="11">
        <f t="shared" si="1"/>
        <v>0.47586345758077481</v>
      </c>
    </row>
    <row r="28" spans="1:6">
      <c r="A28" s="11">
        <v>27</v>
      </c>
      <c r="B28" s="12">
        <v>43857</v>
      </c>
      <c r="C28" s="11">
        <v>69.491004529999998</v>
      </c>
      <c r="D28" s="11">
        <f t="shared" si="2"/>
        <v>69.135546924994301</v>
      </c>
      <c r="E28" s="11">
        <f t="shared" si="0"/>
        <v>0.35545760500569656</v>
      </c>
      <c r="F28" s="11">
        <f t="shared" si="1"/>
        <v>0.12635010895638579</v>
      </c>
    </row>
    <row r="29" spans="1:6">
      <c r="A29" s="11">
        <v>28</v>
      </c>
      <c r="B29" s="12">
        <v>43858</v>
      </c>
      <c r="C29" s="11">
        <v>71.790669219999998</v>
      </c>
      <c r="D29" s="11">
        <f t="shared" si="2"/>
        <v>68.312789750422695</v>
      </c>
      <c r="E29" s="11">
        <f t="shared" si="0"/>
        <v>3.477879469577303</v>
      </c>
      <c r="F29" s="11">
        <f t="shared" si="1"/>
        <v>12.095645604907302</v>
      </c>
    </row>
    <row r="30" spans="1:6">
      <c r="A30" s="11">
        <v>29</v>
      </c>
      <c r="B30" s="12">
        <v>43859</v>
      </c>
      <c r="C30" s="11">
        <v>71.170967149999996</v>
      </c>
      <c r="D30" s="11">
        <f t="shared" si="2"/>
        <v>69.266394266339788</v>
      </c>
      <c r="E30" s="11">
        <f t="shared" si="0"/>
        <v>1.904572883660208</v>
      </c>
      <c r="F30" s="11">
        <f t="shared" si="1"/>
        <v>3.6273978691737603</v>
      </c>
    </row>
    <row r="31" spans="1:6">
      <c r="A31" s="11">
        <v>30</v>
      </c>
      <c r="B31" s="12">
        <v>43860</v>
      </c>
      <c r="C31" s="11">
        <v>70.163994479999999</v>
      </c>
      <c r="D31" s="11">
        <f t="shared" si="2"/>
        <v>71.452017172068494</v>
      </c>
      <c r="E31" s="11">
        <f t="shared" si="0"/>
        <v>-1.2880226920684947</v>
      </c>
      <c r="F31" s="11">
        <f t="shared" si="1"/>
        <v>1.6590024552833724</v>
      </c>
    </row>
    <row r="32" spans="1:6">
      <c r="A32" s="11">
        <v>31</v>
      </c>
      <c r="B32" s="12">
        <v>43861</v>
      </c>
      <c r="C32" s="11">
        <v>69.059807509999999</v>
      </c>
      <c r="D32" s="11">
        <f t="shared" si="2"/>
        <v>70.821265027543191</v>
      </c>
      <c r="E32" s="11">
        <f t="shared" si="0"/>
        <v>-1.7614575175431924</v>
      </c>
      <c r="F32" s="11">
        <f t="shared" si="1"/>
        <v>3.1027325861094259</v>
      </c>
    </row>
    <row r="33" spans="1:6">
      <c r="A33" s="11">
        <v>32</v>
      </c>
      <c r="B33" s="12">
        <v>43862</v>
      </c>
      <c r="C33" s="11">
        <v>69.269211609999999</v>
      </c>
      <c r="D33" s="11">
        <f t="shared" si="2"/>
        <v>69.815273250080892</v>
      </c>
      <c r="E33" s="11">
        <f t="shared" si="0"/>
        <v>-0.54606164008089308</v>
      </c>
      <c r="F33" s="11">
        <f t="shared" si="1"/>
        <v>0.29818331476783483</v>
      </c>
    </row>
    <row r="34" spans="1:6">
      <c r="A34" s="11">
        <v>33</v>
      </c>
      <c r="B34" s="12">
        <v>43863</v>
      </c>
      <c r="C34" s="11">
        <v>70.309751140000003</v>
      </c>
      <c r="D34" s="11">
        <f t="shared" si="2"/>
        <v>68.762706450799897</v>
      </c>
      <c r="E34" s="11">
        <f t="shared" si="0"/>
        <v>1.5470446892001064</v>
      </c>
      <c r="F34" s="11">
        <f t="shared" si="1"/>
        <v>2.3933472703822538</v>
      </c>
    </row>
    <row r="35" spans="1:6">
      <c r="A35" s="11">
        <v>34</v>
      </c>
      <c r="B35" s="12">
        <v>43864</v>
      </c>
      <c r="C35" s="11">
        <v>70.034844759999999</v>
      </c>
      <c r="D35" s="11">
        <f t="shared" si="2"/>
        <v>69.000767188672597</v>
      </c>
      <c r="E35" s="11">
        <f t="shared" si="0"/>
        <v>1.0340775713274013</v>
      </c>
      <c r="F35" s="11">
        <f t="shared" si="1"/>
        <v>1.0693164235223767</v>
      </c>
    </row>
    <row r="36" spans="1:6">
      <c r="A36" s="11">
        <v>35</v>
      </c>
      <c r="B36" s="12">
        <v>43865</v>
      </c>
      <c r="C36" s="11">
        <v>69.474177470000001</v>
      </c>
      <c r="D36" s="11">
        <f t="shared" si="2"/>
        <v>69.989901219408409</v>
      </c>
      <c r="E36" s="11">
        <f t="shared" si="0"/>
        <v>-0.51572374940840859</v>
      </c>
      <c r="F36" s="11">
        <f t="shared" si="1"/>
        <v>0.26597098570386701</v>
      </c>
    </row>
    <row r="37" spans="1:6">
      <c r="A37" s="11">
        <v>36</v>
      </c>
      <c r="B37" s="12">
        <v>43866</v>
      </c>
      <c r="C37" s="11">
        <v>70.077317600000001</v>
      </c>
      <c r="D37" s="11">
        <f t="shared" si="2"/>
        <v>69.706036945757305</v>
      </c>
      <c r="E37" s="11">
        <f t="shared" si="0"/>
        <v>0.37128065424269607</v>
      </c>
      <c r="F37" s="11">
        <f t="shared" si="1"/>
        <v>0.13784932421488444</v>
      </c>
    </row>
    <row r="38" spans="1:6">
      <c r="A38" s="11">
        <v>37</v>
      </c>
      <c r="B38" s="12">
        <v>43867</v>
      </c>
      <c r="C38" s="11">
        <v>69.286132550000005</v>
      </c>
      <c r="D38" s="11">
        <f t="shared" si="2"/>
        <v>69.189262104584003</v>
      </c>
      <c r="E38" s="11">
        <f t="shared" si="0"/>
        <v>9.6870445416001871E-2</v>
      </c>
      <c r="F38" s="11">
        <f t="shared" si="1"/>
        <v>9.3838831950945976E-3</v>
      </c>
    </row>
    <row r="39" spans="1:6">
      <c r="A39" s="11">
        <v>38</v>
      </c>
      <c r="B39" s="12">
        <v>43868</v>
      </c>
      <c r="C39" s="11">
        <v>69.800980879999997</v>
      </c>
      <c r="D39" s="11">
        <f t="shared" si="2"/>
        <v>69.740118353454491</v>
      </c>
      <c r="E39" s="11">
        <f t="shared" si="0"/>
        <v>6.0862526545506057E-2</v>
      </c>
      <c r="F39" s="11">
        <f t="shared" si="1"/>
        <v>3.7042471375024295E-3</v>
      </c>
    </row>
    <row r="40" spans="1:6">
      <c r="A40" s="11">
        <v>39</v>
      </c>
      <c r="B40" s="12">
        <v>43869</v>
      </c>
      <c r="C40" s="11">
        <v>70.915070560000004</v>
      </c>
      <c r="D40" s="11">
        <f t="shared" si="2"/>
        <v>68.998904157519206</v>
      </c>
      <c r="E40" s="11">
        <f t="shared" si="0"/>
        <v>1.9161664024807976</v>
      </c>
      <c r="F40" s="11">
        <f t="shared" si="1"/>
        <v>3.6716936819962021</v>
      </c>
    </row>
    <row r="41" spans="1:6">
      <c r="A41" s="11">
        <v>40</v>
      </c>
      <c r="B41" s="12">
        <v>43870</v>
      </c>
      <c r="C41" s="11">
        <v>71.968696609999995</v>
      </c>
      <c r="D41" s="11">
        <f t="shared" si="2"/>
        <v>69.532809006030391</v>
      </c>
      <c r="E41" s="11">
        <f t="shared" si="0"/>
        <v>2.4358876039696042</v>
      </c>
      <c r="F41" s="11">
        <f t="shared" si="1"/>
        <v>5.9335484191727792</v>
      </c>
    </row>
    <row r="42" spans="1:6">
      <c r="A42" s="11">
        <v>41</v>
      </c>
      <c r="B42" s="12">
        <v>43871</v>
      </c>
      <c r="C42" s="11">
        <v>70.816314790000007</v>
      </c>
      <c r="D42" s="11">
        <f t="shared" si="2"/>
        <v>70.639833649949907</v>
      </c>
      <c r="E42" s="11">
        <f t="shared" si="0"/>
        <v>0.17648114005010029</v>
      </c>
      <c r="F42" s="11">
        <f t="shared" si="1"/>
        <v>3.1145592793383112E-2</v>
      </c>
    </row>
    <row r="43" spans="1:6">
      <c r="A43" s="11">
        <v>42</v>
      </c>
      <c r="B43" s="12">
        <v>43872</v>
      </c>
      <c r="C43" s="11">
        <v>71.266777129999994</v>
      </c>
      <c r="D43" s="11">
        <f t="shared" si="2"/>
        <v>71.610301388976097</v>
      </c>
      <c r="E43" s="11">
        <f t="shared" si="0"/>
        <v>-0.34352425897610317</v>
      </c>
      <c r="F43" s="11">
        <f t="shared" si="1"/>
        <v>0.1180089165050808</v>
      </c>
    </row>
    <row r="44" spans="1:6">
      <c r="A44" s="11">
        <v>43</v>
      </c>
      <c r="B44" s="12">
        <v>43873</v>
      </c>
      <c r="C44" s="11">
        <v>71.54958173</v>
      </c>
      <c r="D44" s="11">
        <f t="shared" si="2"/>
        <v>70.520046796456697</v>
      </c>
      <c r="E44" s="11">
        <f t="shared" si="0"/>
        <v>1.0295349335433031</v>
      </c>
      <c r="F44" s="11">
        <f t="shared" si="1"/>
        <v>1.0599421793860135</v>
      </c>
    </row>
    <row r="45" spans="1:6">
      <c r="A45" s="11">
        <v>44</v>
      </c>
      <c r="B45" s="12">
        <v>43874</v>
      </c>
      <c r="C45" s="11">
        <v>69.553503259999999</v>
      </c>
      <c r="D45" s="11">
        <f t="shared" si="2"/>
        <v>70.962555658570693</v>
      </c>
      <c r="E45" s="11">
        <f t="shared" si="0"/>
        <v>-1.4090523985706938</v>
      </c>
      <c r="F45" s="11">
        <f t="shared" si="1"/>
        <v>1.9854286619178252</v>
      </c>
    </row>
    <row r="46" spans="1:6">
      <c r="A46" s="11">
        <v>45</v>
      </c>
      <c r="B46" s="12">
        <v>43875</v>
      </c>
      <c r="C46" s="11">
        <v>68.049288919999995</v>
      </c>
      <c r="D46" s="11">
        <f t="shared" si="2"/>
        <v>71.163007641823398</v>
      </c>
      <c r="E46" s="11">
        <f t="shared" si="0"/>
        <v>-3.1137187218234033</v>
      </c>
      <c r="F46" s="11">
        <f t="shared" si="1"/>
        <v>9.6952442786335684</v>
      </c>
    </row>
    <row r="47" spans="1:6">
      <c r="A47" s="11">
        <v>46</v>
      </c>
      <c r="B47" s="12">
        <v>43876</v>
      </c>
      <c r="C47" s="11">
        <v>68.658558740000004</v>
      </c>
      <c r="D47" s="11">
        <f t="shared" si="2"/>
        <v>69.193237322262789</v>
      </c>
      <c r="E47" s="11">
        <f t="shared" si="0"/>
        <v>-0.53467858226278508</v>
      </c>
      <c r="F47" s="11">
        <f t="shared" si="1"/>
        <v>0.28588118633054183</v>
      </c>
    </row>
    <row r="48" spans="1:6">
      <c r="A48" s="11">
        <v>47</v>
      </c>
      <c r="B48" s="12">
        <v>43877</v>
      </c>
      <c r="C48" s="11">
        <v>70.809284059999996</v>
      </c>
      <c r="D48" s="11">
        <f t="shared" si="2"/>
        <v>67.7708754687566</v>
      </c>
      <c r="E48" s="11">
        <f t="shared" si="0"/>
        <v>3.038408591243396</v>
      </c>
      <c r="F48" s="11">
        <f t="shared" si="1"/>
        <v>9.2319267673416778</v>
      </c>
    </row>
    <row r="49" spans="1:6">
      <c r="A49" s="11">
        <v>48</v>
      </c>
      <c r="B49" s="12">
        <v>43878</v>
      </c>
      <c r="C49" s="11">
        <v>70.81571581</v>
      </c>
      <c r="D49" s="11">
        <f t="shared" si="2"/>
        <v>68.43231881009541</v>
      </c>
      <c r="E49" s="11">
        <f t="shared" si="0"/>
        <v>2.3833969999045905</v>
      </c>
      <c r="F49" s="11">
        <f t="shared" si="1"/>
        <v>5.6805812591542031</v>
      </c>
    </row>
    <row r="50" spans="1:6">
      <c r="A50" s="11">
        <v>49</v>
      </c>
      <c r="B50" s="12">
        <v>43879</v>
      </c>
      <c r="C50" s="11">
        <v>69.645986710000003</v>
      </c>
      <c r="D50" s="11">
        <f t="shared" si="2"/>
        <v>70.497244023277901</v>
      </c>
      <c r="E50" s="11">
        <f t="shared" si="0"/>
        <v>-0.85125731327789822</v>
      </c>
      <c r="F50" s="11">
        <f t="shared" si="1"/>
        <v>0.72463901340910575</v>
      </c>
    </row>
    <row r="51" spans="1:6">
      <c r="A51" s="11">
        <v>50</v>
      </c>
      <c r="B51" s="12">
        <v>43880</v>
      </c>
      <c r="C51" s="11">
        <v>71.095120460000004</v>
      </c>
      <c r="D51" s="11">
        <f t="shared" si="2"/>
        <v>70.461787844608892</v>
      </c>
      <c r="E51" s="11">
        <f t="shared" si="0"/>
        <v>0.63333261539111163</v>
      </c>
      <c r="F51" s="11">
        <f t="shared" si="1"/>
        <v>0.40111020171814571</v>
      </c>
    </row>
    <row r="52" spans="1:6">
      <c r="A52" s="11">
        <v>51</v>
      </c>
      <c r="B52" s="12">
        <v>43881</v>
      </c>
      <c r="C52" s="11">
        <v>71.050180749999996</v>
      </c>
      <c r="D52" s="11">
        <f t="shared" si="2"/>
        <v>69.390422578771407</v>
      </c>
      <c r="E52" s="11">
        <f t="shared" si="0"/>
        <v>1.6597581712285887</v>
      </c>
      <c r="F52" s="11">
        <f t="shared" si="1"/>
        <v>2.7547971869600691</v>
      </c>
    </row>
    <row r="53" spans="1:6">
      <c r="A53" s="11">
        <v>52</v>
      </c>
      <c r="B53" s="12">
        <v>43882</v>
      </c>
      <c r="C53" s="11">
        <v>67.980978039999997</v>
      </c>
      <c r="D53" s="11">
        <f t="shared" si="2"/>
        <v>70.779991574492499</v>
      </c>
      <c r="E53" s="11">
        <f t="shared" si="0"/>
        <v>-2.7990135344925022</v>
      </c>
      <c r="F53" s="11">
        <f t="shared" si="1"/>
        <v>7.8344767662722097</v>
      </c>
    </row>
    <row r="54" spans="1:6">
      <c r="A54" s="11">
        <v>53</v>
      </c>
      <c r="B54" s="12">
        <v>43883</v>
      </c>
      <c r="C54" s="11">
        <v>68.790693219999994</v>
      </c>
      <c r="D54" s="11">
        <f t="shared" si="2"/>
        <v>70.627616528443582</v>
      </c>
      <c r="E54" s="11">
        <f t="shared" si="0"/>
        <v>-1.8369233084435876</v>
      </c>
      <c r="F54" s="11">
        <f t="shared" si="1"/>
        <v>3.3742872411033358</v>
      </c>
    </row>
    <row r="55" spans="1:6">
      <c r="A55" s="11">
        <v>54</v>
      </c>
      <c r="B55" s="12">
        <v>43884</v>
      </c>
      <c r="C55" s="11">
        <v>70.400163140000004</v>
      </c>
      <c r="D55" s="11">
        <f t="shared" si="2"/>
        <v>67.709999690099792</v>
      </c>
      <c r="E55" s="11">
        <f t="shared" si="0"/>
        <v>2.6901634499002114</v>
      </c>
      <c r="F55" s="11">
        <f t="shared" si="1"/>
        <v>7.2369793871790069</v>
      </c>
    </row>
    <row r="56" spans="1:6">
      <c r="A56" s="11">
        <v>55</v>
      </c>
      <c r="B56" s="12">
        <v>43885</v>
      </c>
      <c r="C56" s="11">
        <v>70.828498569999994</v>
      </c>
      <c r="D56" s="11">
        <f t="shared" si="2"/>
        <v>68.544607297352599</v>
      </c>
      <c r="E56" s="11">
        <f t="shared" si="0"/>
        <v>2.283891272647395</v>
      </c>
      <c r="F56" s="11">
        <f t="shared" si="1"/>
        <v>5.2161593452749377</v>
      </c>
    </row>
    <row r="57" spans="1:6">
      <c r="A57" s="11">
        <v>56</v>
      </c>
      <c r="B57" s="12">
        <v>43886</v>
      </c>
      <c r="C57" s="11">
        <v>70.826762299999999</v>
      </c>
      <c r="D57" s="11">
        <f t="shared" si="2"/>
        <v>70.104942878506307</v>
      </c>
      <c r="E57" s="11">
        <f t="shared" si="0"/>
        <v>0.72181942149369149</v>
      </c>
      <c r="F57" s="11">
        <f t="shared" si="1"/>
        <v>0.52102327724548747</v>
      </c>
    </row>
    <row r="58" spans="1:6">
      <c r="A58" s="11">
        <v>57</v>
      </c>
      <c r="B58" s="12">
        <v>43887</v>
      </c>
      <c r="C58" s="11">
        <v>70.180232200000006</v>
      </c>
      <c r="D58" s="11">
        <f t="shared" si="2"/>
        <v>70.516083097456985</v>
      </c>
      <c r="E58" s="11">
        <f t="shared" si="0"/>
        <v>-0.33585089745697871</v>
      </c>
      <c r="F58" s="11">
        <f t="shared" si="1"/>
        <v>0.11279582532265803</v>
      </c>
    </row>
    <row r="59" spans="1:6">
      <c r="A59" s="11">
        <v>58</v>
      </c>
      <c r="B59" s="12">
        <v>43888</v>
      </c>
      <c r="C59" s="11">
        <v>68.541714760000005</v>
      </c>
      <c r="D59" s="11">
        <f t="shared" si="2"/>
        <v>70.491406271997988</v>
      </c>
      <c r="E59" s="11">
        <f t="shared" si="0"/>
        <v>-1.9496915119979832</v>
      </c>
      <c r="F59" s="11">
        <f t="shared" si="1"/>
        <v>3.8012969919569817</v>
      </c>
    </row>
    <row r="60" spans="1:6">
      <c r="A60" s="11">
        <v>59</v>
      </c>
      <c r="B60" s="12">
        <v>43889</v>
      </c>
      <c r="C60" s="11">
        <v>68.700255189999993</v>
      </c>
      <c r="D60" s="11">
        <f t="shared" si="2"/>
        <v>69.812422540308404</v>
      </c>
      <c r="E60" s="11">
        <f t="shared" si="0"/>
        <v>-1.1121673503084111</v>
      </c>
      <c r="F60" s="11">
        <f t="shared" si="1"/>
        <v>1.2369162150920319</v>
      </c>
    </row>
    <row r="61" spans="1:6">
      <c r="A61" s="11">
        <v>60</v>
      </c>
      <c r="B61" s="12">
        <v>43890</v>
      </c>
      <c r="C61" s="11">
        <v>68.71202289</v>
      </c>
      <c r="D61" s="11">
        <f t="shared" si="2"/>
        <v>68.245088251812106</v>
      </c>
      <c r="E61" s="11">
        <f t="shared" si="0"/>
        <v>0.46693463818789382</v>
      </c>
      <c r="F61" s="11">
        <f t="shared" si="1"/>
        <v>0.21802795633965932</v>
      </c>
    </row>
    <row r="62" spans="1:6">
      <c r="A62" s="11">
        <v>61</v>
      </c>
      <c r="B62" s="12">
        <v>43891</v>
      </c>
      <c r="C62" s="11">
        <v>68.684396269999993</v>
      </c>
      <c r="D62" s="11">
        <f t="shared" si="2"/>
        <v>68.397705877055088</v>
      </c>
      <c r="E62" s="11">
        <f t="shared" si="0"/>
        <v>0.28669039294490517</v>
      </c>
      <c r="F62" s="11">
        <f t="shared" si="1"/>
        <v>8.2191381406904129E-2</v>
      </c>
    </row>
    <row r="63" spans="1:6">
      <c r="A63" s="11">
        <v>62</v>
      </c>
      <c r="B63" s="12">
        <v>43892</v>
      </c>
      <c r="C63" s="11">
        <v>68.333962540000002</v>
      </c>
      <c r="D63" s="11">
        <f t="shared" si="2"/>
        <v>68.408019637649303</v>
      </c>
      <c r="E63" s="11">
        <f t="shared" si="0"/>
        <v>-7.4057097649301795E-2</v>
      </c>
      <c r="F63" s="11">
        <f t="shared" si="1"/>
        <v>5.4844537122382218E-3</v>
      </c>
    </row>
    <row r="64" spans="1:6">
      <c r="A64" s="11">
        <v>63</v>
      </c>
      <c r="B64" s="12">
        <v>43893</v>
      </c>
      <c r="C64" s="11">
        <v>69.847547739999996</v>
      </c>
      <c r="D64" s="11">
        <f t="shared" si="2"/>
        <v>68.369026145998589</v>
      </c>
      <c r="E64" s="11">
        <f t="shared" si="0"/>
        <v>1.4785215940014069</v>
      </c>
      <c r="F64" s="11">
        <f t="shared" si="1"/>
        <v>2.186026103928461</v>
      </c>
    </row>
    <row r="65" spans="1:6">
      <c r="A65" s="11">
        <v>64</v>
      </c>
      <c r="B65" s="12">
        <v>43894</v>
      </c>
      <c r="C65" s="11">
        <v>70.506236029999997</v>
      </c>
      <c r="D65" s="11">
        <f t="shared" si="2"/>
        <v>68.086478262466599</v>
      </c>
      <c r="E65" s="11">
        <f t="shared" si="0"/>
        <v>2.4197577675333974</v>
      </c>
      <c r="F65" s="11">
        <f t="shared" si="1"/>
        <v>5.8552276535382113</v>
      </c>
    </row>
    <row r="66" spans="1:6">
      <c r="A66" s="11">
        <v>65</v>
      </c>
      <c r="B66" s="12">
        <v>43895</v>
      </c>
      <c r="C66" s="11">
        <v>69.901311930000006</v>
      </c>
      <c r="D66" s="11">
        <f t="shared" si="2"/>
        <v>69.562962770707699</v>
      </c>
      <c r="E66" s="11">
        <f t="shared" si="0"/>
        <v>0.33834915929230647</v>
      </c>
      <c r="F66" s="11">
        <f t="shared" si="1"/>
        <v>0.11448015359381057</v>
      </c>
    </row>
    <row r="67" spans="1:6">
      <c r="A67" s="11">
        <v>66</v>
      </c>
      <c r="B67" s="12">
        <v>43896</v>
      </c>
      <c r="C67" s="11">
        <v>69.139578420000007</v>
      </c>
      <c r="D67" s="11">
        <f t="shared" si="2"/>
        <v>70.173774280388699</v>
      </c>
      <c r="E67" s="11">
        <f t="shared" si="0"/>
        <v>-1.0341958603886923</v>
      </c>
      <c r="F67" s="11">
        <f t="shared" si="1"/>
        <v>1.0695610776451074</v>
      </c>
    </row>
    <row r="68" spans="1:6">
      <c r="A68" s="11">
        <v>67</v>
      </c>
      <c r="B68" s="12">
        <v>43897</v>
      </c>
      <c r="C68" s="11">
        <v>69.489930369999996</v>
      </c>
      <c r="D68" s="11">
        <f t="shared" si="2"/>
        <v>69.565937048767793</v>
      </c>
      <c r="E68" s="11">
        <f t="shared" ref="E68:E131" si="3">C68-D68</f>
        <v>-7.6006678767797098E-2</v>
      </c>
      <c r="F68" s="11">
        <f t="shared" ref="F68:F131" si="4">E68^2</f>
        <v>5.7770152173110979E-3</v>
      </c>
    </row>
    <row r="69" spans="1:6">
      <c r="A69" s="11">
        <v>68</v>
      </c>
      <c r="B69" s="12">
        <v>43898</v>
      </c>
      <c r="C69" s="11">
        <v>71.031279420000004</v>
      </c>
      <c r="D69" s="11">
        <f t="shared" ref="D69:D132" si="5">0.03559*C68+0.96*C67</f>
        <v>68.847141905068298</v>
      </c>
      <c r="E69" s="11">
        <f t="shared" si="3"/>
        <v>2.1841375149317059</v>
      </c>
      <c r="F69" s="11">
        <f t="shared" si="4"/>
        <v>4.7704566841320482</v>
      </c>
    </row>
    <row r="70" spans="1:6">
      <c r="A70" s="11">
        <v>69</v>
      </c>
      <c r="B70" s="12">
        <v>43899</v>
      </c>
      <c r="C70" s="11">
        <v>68.767572830000006</v>
      </c>
      <c r="D70" s="11">
        <f t="shared" si="5"/>
        <v>69.238336389757791</v>
      </c>
      <c r="E70" s="11">
        <f t="shared" si="3"/>
        <v>-0.47076355975778483</v>
      </c>
      <c r="F70" s="11">
        <f t="shared" si="4"/>
        <v>0.22161832919582145</v>
      </c>
    </row>
    <row r="71" spans="1:6">
      <c r="A71" s="11">
        <v>70</v>
      </c>
      <c r="B71" s="12">
        <v>43900</v>
      </c>
      <c r="C71" s="11">
        <v>69.328036389999994</v>
      </c>
      <c r="D71" s="11">
        <f t="shared" si="5"/>
        <v>70.637466160219702</v>
      </c>
      <c r="E71" s="11">
        <f t="shared" si="3"/>
        <v>-1.3094297702197082</v>
      </c>
      <c r="F71" s="11">
        <f t="shared" si="4"/>
        <v>1.7146063231376378</v>
      </c>
    </row>
    <row r="72" spans="1:6">
      <c r="A72" s="11">
        <v>71</v>
      </c>
      <c r="B72" s="12">
        <v>43901</v>
      </c>
      <c r="C72" s="11">
        <v>69.420838009999997</v>
      </c>
      <c r="D72" s="11">
        <f t="shared" si="5"/>
        <v>68.484254731920103</v>
      </c>
      <c r="E72" s="11">
        <f t="shared" si="3"/>
        <v>0.93658327807989394</v>
      </c>
      <c r="F72" s="11">
        <f t="shared" si="4"/>
        <v>0.87718823677887992</v>
      </c>
    </row>
    <row r="73" spans="1:6">
      <c r="A73" s="11">
        <v>72</v>
      </c>
      <c r="B73" s="12">
        <v>43902</v>
      </c>
      <c r="C73" s="11">
        <v>67.969506050000007</v>
      </c>
      <c r="D73" s="11">
        <f t="shared" si="5"/>
        <v>69.025602559175894</v>
      </c>
      <c r="E73" s="11">
        <f t="shared" si="3"/>
        <v>-1.0560965091758874</v>
      </c>
      <c r="F73" s="11">
        <f t="shared" si="4"/>
        <v>1.1153398366934952</v>
      </c>
    </row>
    <row r="74" spans="1:6">
      <c r="A74" s="11">
        <v>73</v>
      </c>
      <c r="B74" s="12">
        <v>43903</v>
      </c>
      <c r="C74" s="11">
        <v>67.009749139999997</v>
      </c>
      <c r="D74" s="11">
        <f t="shared" si="5"/>
        <v>69.063039209919495</v>
      </c>
      <c r="E74" s="11">
        <f t="shared" si="3"/>
        <v>-2.0532900699194983</v>
      </c>
      <c r="F74" s="11">
        <f t="shared" si="4"/>
        <v>4.2160001112300183</v>
      </c>
    </row>
    <row r="75" spans="1:6">
      <c r="A75" s="11">
        <v>74</v>
      </c>
      <c r="B75" s="12">
        <v>43904</v>
      </c>
      <c r="C75" s="11">
        <v>67.902214180000001</v>
      </c>
      <c r="D75" s="11">
        <f t="shared" si="5"/>
        <v>67.635602779892594</v>
      </c>
      <c r="E75" s="11">
        <f t="shared" si="3"/>
        <v>0.2666114001074078</v>
      </c>
      <c r="F75" s="11">
        <f t="shared" si="4"/>
        <v>7.1081638667232286E-2</v>
      </c>
    </row>
    <row r="76" spans="1:6">
      <c r="A76" s="11">
        <v>75</v>
      </c>
      <c r="B76" s="12">
        <v>43905</v>
      </c>
      <c r="C76" s="11">
        <v>69.857913319999994</v>
      </c>
      <c r="D76" s="11">
        <f t="shared" si="5"/>
        <v>66.745998977066193</v>
      </c>
      <c r="E76" s="11">
        <f t="shared" si="3"/>
        <v>3.111914342933801</v>
      </c>
      <c r="F76" s="11">
        <f t="shared" si="4"/>
        <v>9.6840108777571103</v>
      </c>
    </row>
    <row r="77" spans="1:6">
      <c r="A77" s="11">
        <v>76</v>
      </c>
      <c r="B77" s="12">
        <v>43906</v>
      </c>
      <c r="C77" s="11">
        <v>70.937146670000004</v>
      </c>
      <c r="D77" s="11">
        <f t="shared" si="5"/>
        <v>67.672368747858798</v>
      </c>
      <c r="E77" s="11">
        <f t="shared" si="3"/>
        <v>3.2647779221412065</v>
      </c>
      <c r="F77" s="11">
        <f t="shared" si="4"/>
        <v>10.658774880900655</v>
      </c>
    </row>
    <row r="78" spans="1:6">
      <c r="A78" s="11">
        <v>77</v>
      </c>
      <c r="B78" s="12">
        <v>43907</v>
      </c>
      <c r="C78" s="11">
        <v>69.665932440000006</v>
      </c>
      <c r="D78" s="11">
        <f t="shared" si="5"/>
        <v>69.588249837185302</v>
      </c>
      <c r="E78" s="11">
        <f t="shared" si="3"/>
        <v>7.7682602814704182E-2</v>
      </c>
      <c r="F78" s="11">
        <f t="shared" si="4"/>
        <v>6.0345867800670862E-3</v>
      </c>
    </row>
    <row r="79" spans="1:6">
      <c r="A79" s="11">
        <v>78</v>
      </c>
      <c r="B79" s="12">
        <v>43908</v>
      </c>
      <c r="C79" s="11">
        <v>70.535436450000006</v>
      </c>
      <c r="D79" s="11">
        <f t="shared" si="5"/>
        <v>70.579071338739595</v>
      </c>
      <c r="E79" s="11">
        <f t="shared" si="3"/>
        <v>-4.3634888739589428E-2</v>
      </c>
      <c r="F79" s="11">
        <f t="shared" si="4"/>
        <v>1.9040035153163482E-3</v>
      </c>
    </row>
    <row r="80" spans="1:6">
      <c r="A80" s="11">
        <v>79</v>
      </c>
      <c r="B80" s="12">
        <v>43909</v>
      </c>
      <c r="C80" s="11">
        <v>71.844465639999996</v>
      </c>
      <c r="D80" s="11">
        <f t="shared" si="5"/>
        <v>69.389651325655493</v>
      </c>
      <c r="E80" s="11">
        <f t="shared" si="3"/>
        <v>2.4548143143445031</v>
      </c>
      <c r="F80" s="11">
        <f t="shared" si="4"/>
        <v>6.0261133179106734</v>
      </c>
    </row>
    <row r="81" spans="1:6">
      <c r="A81" s="11">
        <v>80</v>
      </c>
      <c r="B81" s="12">
        <v>43910</v>
      </c>
      <c r="C81" s="11">
        <v>71.342135029999994</v>
      </c>
      <c r="D81" s="11">
        <f t="shared" si="5"/>
        <v>70.270963524127609</v>
      </c>
      <c r="E81" s="11">
        <f t="shared" si="3"/>
        <v>1.0711715058723854</v>
      </c>
      <c r="F81" s="11">
        <f t="shared" si="4"/>
        <v>1.1474083949929139</v>
      </c>
    </row>
    <row r="82" spans="1:6">
      <c r="A82" s="11">
        <v>81</v>
      </c>
      <c r="B82" s="12">
        <v>43911</v>
      </c>
      <c r="C82" s="11">
        <v>69.66053866</v>
      </c>
      <c r="D82" s="11">
        <f t="shared" si="5"/>
        <v>71.509753600117705</v>
      </c>
      <c r="E82" s="11">
        <f t="shared" si="3"/>
        <v>-1.8492149401177045</v>
      </c>
      <c r="F82" s="11">
        <f t="shared" si="4"/>
        <v>3.4195958947545253</v>
      </c>
    </row>
    <row r="83" spans="1:6">
      <c r="A83" s="11">
        <v>82</v>
      </c>
      <c r="B83" s="12">
        <v>43912</v>
      </c>
      <c r="C83" s="11">
        <v>70.518101869999995</v>
      </c>
      <c r="D83" s="11">
        <f t="shared" si="5"/>
        <v>70.967668199709394</v>
      </c>
      <c r="E83" s="11">
        <f t="shared" si="3"/>
        <v>-0.44956632970939836</v>
      </c>
      <c r="F83" s="11">
        <f t="shared" si="4"/>
        <v>0.20210988480837946</v>
      </c>
    </row>
    <row r="84" spans="1:6">
      <c r="A84" s="11">
        <v>83</v>
      </c>
      <c r="B84" s="12">
        <v>43913</v>
      </c>
      <c r="C84" s="11">
        <v>71.168095219999998</v>
      </c>
      <c r="D84" s="11">
        <f t="shared" si="5"/>
        <v>69.383856359153299</v>
      </c>
      <c r="E84" s="11">
        <f t="shared" si="3"/>
        <v>1.784238860846699</v>
      </c>
      <c r="F84" s="11">
        <f t="shared" si="4"/>
        <v>3.1835083125555261</v>
      </c>
    </row>
    <row r="85" spans="1:6">
      <c r="A85" s="11">
        <v>84</v>
      </c>
      <c r="B85" s="12">
        <v>43914</v>
      </c>
      <c r="C85" s="11">
        <v>71.412833980000002</v>
      </c>
      <c r="D85" s="11">
        <f t="shared" si="5"/>
        <v>70.230250304079803</v>
      </c>
      <c r="E85" s="11">
        <f t="shared" si="3"/>
        <v>1.1825836759201991</v>
      </c>
      <c r="F85" s="11">
        <f t="shared" si="4"/>
        <v>1.3985041505529305</v>
      </c>
    </row>
    <row r="86" spans="1:6">
      <c r="A86" s="11">
        <v>85</v>
      </c>
      <c r="B86" s="12">
        <v>43915</v>
      </c>
      <c r="C86" s="11">
        <v>69.840808150000001</v>
      </c>
      <c r="D86" s="11">
        <f t="shared" si="5"/>
        <v>70.862954172548186</v>
      </c>
      <c r="E86" s="11">
        <f t="shared" si="3"/>
        <v>-1.0221460225481849</v>
      </c>
      <c r="F86" s="11">
        <f t="shared" si="4"/>
        <v>1.0447824914110744</v>
      </c>
    </row>
    <row r="87" spans="1:6">
      <c r="A87" s="11">
        <v>86</v>
      </c>
      <c r="B87" s="12">
        <v>43916</v>
      </c>
      <c r="C87" s="11">
        <v>66.646080190000006</v>
      </c>
      <c r="D87" s="11">
        <f t="shared" si="5"/>
        <v>71.041954982858499</v>
      </c>
      <c r="E87" s="11">
        <f t="shared" si="3"/>
        <v>-4.3958747928584927</v>
      </c>
      <c r="F87" s="11">
        <f t="shared" si="4"/>
        <v>19.323715194488695</v>
      </c>
    </row>
    <row r="88" spans="1:6">
      <c r="A88" s="11">
        <v>87</v>
      </c>
      <c r="B88" s="12">
        <v>43917</v>
      </c>
      <c r="C88" s="11">
        <v>70.152196689999997</v>
      </c>
      <c r="D88" s="11">
        <f t="shared" si="5"/>
        <v>69.419109817962095</v>
      </c>
      <c r="E88" s="11">
        <f t="shared" si="3"/>
        <v>0.73308687203790157</v>
      </c>
      <c r="F88" s="11">
        <f t="shared" si="4"/>
        <v>0.53741636195431464</v>
      </c>
    </row>
    <row r="89" spans="1:6">
      <c r="A89" s="11">
        <v>88</v>
      </c>
      <c r="B89" s="12">
        <v>43918</v>
      </c>
      <c r="C89" s="11">
        <v>69.486615549999996</v>
      </c>
      <c r="D89" s="11">
        <f t="shared" si="5"/>
        <v>66.476953662597097</v>
      </c>
      <c r="E89" s="11">
        <f t="shared" si="3"/>
        <v>3.0096618874028991</v>
      </c>
      <c r="F89" s="11">
        <f t="shared" si="4"/>
        <v>9.0580646764855803</v>
      </c>
    </row>
    <row r="90" spans="1:6">
      <c r="A90" s="11">
        <v>89</v>
      </c>
      <c r="B90" s="12">
        <v>43919</v>
      </c>
      <c r="C90" s="11">
        <v>69.610542249999995</v>
      </c>
      <c r="D90" s="11">
        <f t="shared" si="5"/>
        <v>69.819137469824497</v>
      </c>
      <c r="E90" s="11">
        <f t="shared" si="3"/>
        <v>-0.20859521982450246</v>
      </c>
      <c r="F90" s="11">
        <f t="shared" si="4"/>
        <v>4.3511965733632509E-2</v>
      </c>
    </row>
    <row r="91" spans="1:6">
      <c r="A91" s="11">
        <v>90</v>
      </c>
      <c r="B91" s="12">
        <v>43920</v>
      </c>
      <c r="C91" s="11">
        <v>72.301086040000001</v>
      </c>
      <c r="D91" s="11">
        <f t="shared" si="5"/>
        <v>69.184590126677492</v>
      </c>
      <c r="E91" s="11">
        <f t="shared" si="3"/>
        <v>3.1164959133225096</v>
      </c>
      <c r="F91" s="11">
        <f t="shared" si="4"/>
        <v>9.7125467777559038</v>
      </c>
    </row>
    <row r="92" spans="1:6">
      <c r="A92" s="11">
        <v>91</v>
      </c>
      <c r="B92" s="12">
        <v>43921</v>
      </c>
      <c r="C92" s="11">
        <v>71.828065699999996</v>
      </c>
      <c r="D92" s="11">
        <f t="shared" si="5"/>
        <v>69.399316212163598</v>
      </c>
      <c r="E92" s="11">
        <f t="shared" si="3"/>
        <v>2.4287494878363987</v>
      </c>
      <c r="F92" s="11">
        <f t="shared" si="4"/>
        <v>5.8988240746655691</v>
      </c>
    </row>
    <row r="93" spans="1:6">
      <c r="A93" s="11">
        <v>92</v>
      </c>
      <c r="B93" s="12">
        <v>43922</v>
      </c>
      <c r="C93" s="11">
        <v>71.355760079999996</v>
      </c>
      <c r="D93" s="11">
        <f t="shared" si="5"/>
        <v>71.965403456662997</v>
      </c>
      <c r="E93" s="11">
        <f t="shared" si="3"/>
        <v>-0.60964337666300139</v>
      </c>
      <c r="F93" s="11">
        <f t="shared" si="4"/>
        <v>0.37166504670906619</v>
      </c>
    </row>
    <row r="94" spans="1:6">
      <c r="A94" s="11">
        <v>93</v>
      </c>
      <c r="B94" s="12">
        <v>43923</v>
      </c>
      <c r="C94" s="11">
        <v>68.762639770000007</v>
      </c>
      <c r="D94" s="11">
        <f t="shared" si="5"/>
        <v>71.494494573247195</v>
      </c>
      <c r="E94" s="11">
        <f t="shared" si="3"/>
        <v>-2.7318548032471881</v>
      </c>
      <c r="F94" s="11">
        <f t="shared" si="4"/>
        <v>7.463030666024733</v>
      </c>
    </row>
    <row r="95" spans="1:6">
      <c r="A95" s="11">
        <v>94</v>
      </c>
      <c r="B95" s="12">
        <v>43924</v>
      </c>
      <c r="C95" s="11">
        <v>67.073188880000004</v>
      </c>
      <c r="D95" s="11">
        <f t="shared" si="5"/>
        <v>70.948792026214292</v>
      </c>
      <c r="E95" s="11">
        <f t="shared" si="3"/>
        <v>-3.8756031462142886</v>
      </c>
      <c r="F95" s="11">
        <f t="shared" si="4"/>
        <v>15.020299746946092</v>
      </c>
    </row>
    <row r="96" spans="1:6">
      <c r="A96" s="11">
        <v>95</v>
      </c>
      <c r="B96" s="12">
        <v>43925</v>
      </c>
      <c r="C96" s="11">
        <v>68.082418610000005</v>
      </c>
      <c r="D96" s="11">
        <f t="shared" si="5"/>
        <v>68.399268971439199</v>
      </c>
      <c r="E96" s="11">
        <f t="shared" si="3"/>
        <v>-0.31685036143919376</v>
      </c>
      <c r="F96" s="11">
        <f t="shared" si="4"/>
        <v>0.10039415154414773</v>
      </c>
    </row>
    <row r="97" spans="1:6">
      <c r="A97" s="11">
        <v>96</v>
      </c>
      <c r="B97" s="12">
        <v>43926</v>
      </c>
      <c r="C97" s="11">
        <v>70.818244230000005</v>
      </c>
      <c r="D97" s="11">
        <f t="shared" si="5"/>
        <v>66.813314603129911</v>
      </c>
      <c r="E97" s="11">
        <f t="shared" si="3"/>
        <v>4.0049296268700942</v>
      </c>
      <c r="F97" s="11">
        <f t="shared" si="4"/>
        <v>16.039461316181832</v>
      </c>
    </row>
    <row r="98" spans="1:6">
      <c r="A98" s="11">
        <v>97</v>
      </c>
      <c r="B98" s="12">
        <v>43927</v>
      </c>
      <c r="C98" s="11">
        <v>70.719971509999993</v>
      </c>
      <c r="D98" s="11">
        <f t="shared" si="5"/>
        <v>67.879543177745703</v>
      </c>
      <c r="E98" s="11">
        <f t="shared" si="3"/>
        <v>2.8404283322542909</v>
      </c>
      <c r="F98" s="11">
        <f t="shared" si="4"/>
        <v>8.0680331106728929</v>
      </c>
    </row>
    <row r="99" spans="1:6">
      <c r="A99" s="11">
        <v>98</v>
      </c>
      <c r="B99" s="12">
        <v>43928</v>
      </c>
      <c r="C99" s="11">
        <v>69.391873320000002</v>
      </c>
      <c r="D99" s="11">
        <f t="shared" si="5"/>
        <v>70.50243824684091</v>
      </c>
      <c r="E99" s="11">
        <f t="shared" si="3"/>
        <v>-1.1105649268409081</v>
      </c>
      <c r="F99" s="11">
        <f t="shared" si="4"/>
        <v>1.2333544567291517</v>
      </c>
    </row>
    <row r="100" spans="1:6">
      <c r="A100" s="11">
        <v>99</v>
      </c>
      <c r="B100" s="12">
        <v>43929</v>
      </c>
      <c r="C100" s="11">
        <v>69.617099830000001</v>
      </c>
      <c r="D100" s="11">
        <f t="shared" si="5"/>
        <v>70.360829421058796</v>
      </c>
      <c r="E100" s="11">
        <f t="shared" si="3"/>
        <v>-0.74372959105879488</v>
      </c>
      <c r="F100" s="11">
        <f t="shared" si="4"/>
        <v>0.55313370461648226</v>
      </c>
    </row>
    <row r="101" spans="1:6">
      <c r="A101" s="11">
        <v>100</v>
      </c>
      <c r="B101" s="12">
        <v>43930</v>
      </c>
      <c r="C101" s="11">
        <v>71.034633119999995</v>
      </c>
      <c r="D101" s="11">
        <f t="shared" si="5"/>
        <v>69.093870970149695</v>
      </c>
      <c r="E101" s="11">
        <f t="shared" si="3"/>
        <v>1.9407621498503005</v>
      </c>
      <c r="F101" s="11">
        <f t="shared" si="4"/>
        <v>3.7665577222915601</v>
      </c>
    </row>
    <row r="102" spans="1:6">
      <c r="A102" s="11">
        <v>101</v>
      </c>
      <c r="B102" s="12">
        <v>43931</v>
      </c>
      <c r="C102" s="11">
        <v>69.290709719999995</v>
      </c>
      <c r="D102" s="11">
        <f t="shared" si="5"/>
        <v>69.360538429540796</v>
      </c>
      <c r="E102" s="11">
        <f t="shared" si="3"/>
        <v>-6.982870954080056E-2</v>
      </c>
      <c r="F102" s="11">
        <f t="shared" si="4"/>
        <v>4.8760486761334912E-3</v>
      </c>
    </row>
    <row r="103" spans="1:6">
      <c r="A103" s="11">
        <v>102</v>
      </c>
      <c r="B103" s="12">
        <v>43932</v>
      </c>
      <c r="C103" s="11">
        <v>68.053492899999995</v>
      </c>
      <c r="D103" s="11">
        <f t="shared" si="5"/>
        <v>70.659304154134787</v>
      </c>
      <c r="E103" s="11">
        <f t="shared" si="3"/>
        <v>-2.6058112541347924</v>
      </c>
      <c r="F103" s="11">
        <f t="shared" si="4"/>
        <v>6.7902522921755395</v>
      </c>
    </row>
    <row r="104" spans="1:6">
      <c r="A104" s="11">
        <v>103</v>
      </c>
      <c r="B104" s="12">
        <v>43933</v>
      </c>
      <c r="C104" s="11">
        <v>68.25621357</v>
      </c>
      <c r="D104" s="11">
        <f t="shared" si="5"/>
        <v>68.941105143510995</v>
      </c>
      <c r="E104" s="11">
        <f t="shared" si="3"/>
        <v>-0.6848915735109955</v>
      </c>
      <c r="F104" s="11">
        <f t="shared" si="4"/>
        <v>0.46907646746636733</v>
      </c>
    </row>
    <row r="105" spans="1:6">
      <c r="A105" s="11">
        <v>104</v>
      </c>
      <c r="B105" s="12">
        <v>43934</v>
      </c>
      <c r="C105" s="11">
        <v>70.632318650000002</v>
      </c>
      <c r="D105" s="11">
        <f t="shared" si="5"/>
        <v>67.760591824956293</v>
      </c>
      <c r="E105" s="11">
        <f t="shared" si="3"/>
        <v>2.8717268250437087</v>
      </c>
      <c r="F105" s="11">
        <f t="shared" si="4"/>
        <v>8.2468149576756193</v>
      </c>
    </row>
    <row r="106" spans="1:6">
      <c r="A106" s="11">
        <v>105</v>
      </c>
      <c r="B106" s="12">
        <v>43935</v>
      </c>
      <c r="C106" s="11">
        <v>71.137348639999999</v>
      </c>
      <c r="D106" s="11">
        <f t="shared" si="5"/>
        <v>68.039769247953501</v>
      </c>
      <c r="E106" s="11">
        <f t="shared" si="3"/>
        <v>3.097579392046498</v>
      </c>
      <c r="F106" s="11">
        <f t="shared" si="4"/>
        <v>9.5949980900311527</v>
      </c>
    </row>
    <row r="107" spans="1:6">
      <c r="A107" s="11">
        <v>106</v>
      </c>
      <c r="B107" s="12">
        <v>43936</v>
      </c>
      <c r="C107" s="11">
        <v>72.624866999999995</v>
      </c>
      <c r="D107" s="11">
        <f t="shared" si="5"/>
        <v>70.338804142097601</v>
      </c>
      <c r="E107" s="11">
        <f t="shared" si="3"/>
        <v>2.2860628579023938</v>
      </c>
      <c r="F107" s="11">
        <f t="shared" si="4"/>
        <v>5.2260833902808601</v>
      </c>
    </row>
    <row r="108" spans="1:6">
      <c r="A108" s="11">
        <v>107</v>
      </c>
      <c r="B108" s="12">
        <v>43937</v>
      </c>
      <c r="C108" s="11">
        <v>72.170161329999999</v>
      </c>
      <c r="D108" s="11">
        <f t="shared" si="5"/>
        <v>70.876573710930003</v>
      </c>
      <c r="E108" s="11">
        <f t="shared" si="3"/>
        <v>1.2935876190699958</v>
      </c>
      <c r="F108" s="11">
        <f t="shared" si="4"/>
        <v>1.6733689282111806</v>
      </c>
    </row>
    <row r="109" spans="1:6">
      <c r="A109" s="11">
        <v>108</v>
      </c>
      <c r="B109" s="12">
        <v>43938</v>
      </c>
      <c r="C109" s="11">
        <v>70.479541519999998</v>
      </c>
      <c r="D109" s="11">
        <f t="shared" si="5"/>
        <v>72.288408361734696</v>
      </c>
      <c r="E109" s="11">
        <f t="shared" si="3"/>
        <v>-1.808866841734698</v>
      </c>
      <c r="F109" s="11">
        <f t="shared" si="4"/>
        <v>3.2719992511272609</v>
      </c>
    </row>
    <row r="110" spans="1:6">
      <c r="A110" s="11">
        <v>109</v>
      </c>
      <c r="B110" s="12">
        <v>43939</v>
      </c>
      <c r="C110" s="11">
        <v>70.901754350000004</v>
      </c>
      <c r="D110" s="11">
        <f t="shared" si="5"/>
        <v>71.791721759496795</v>
      </c>
      <c r="E110" s="11">
        <f t="shared" si="3"/>
        <v>-0.88996740949679065</v>
      </c>
      <c r="F110" s="11">
        <f t="shared" si="4"/>
        <v>0.79204198996642827</v>
      </c>
    </row>
    <row r="111" spans="1:6">
      <c r="A111" s="11">
        <v>110</v>
      </c>
      <c r="B111" s="12">
        <v>43940</v>
      </c>
      <c r="C111" s="11">
        <v>70.608687169999996</v>
      </c>
      <c r="D111" s="11">
        <f t="shared" si="5"/>
        <v>70.1837532965165</v>
      </c>
      <c r="E111" s="11">
        <f t="shared" si="3"/>
        <v>0.42493387348349643</v>
      </c>
      <c r="F111" s="11">
        <f t="shared" si="4"/>
        <v>0.18056879683368815</v>
      </c>
    </row>
    <row r="112" spans="1:6">
      <c r="A112" s="11">
        <v>111</v>
      </c>
      <c r="B112" s="12">
        <v>43941</v>
      </c>
      <c r="C112" s="11">
        <v>69.389764639999996</v>
      </c>
      <c r="D112" s="11">
        <f t="shared" si="5"/>
        <v>70.578647352380301</v>
      </c>
      <c r="E112" s="11">
        <f t="shared" si="3"/>
        <v>-1.1888827123803054</v>
      </c>
      <c r="F112" s="11">
        <f t="shared" si="4"/>
        <v>1.4134421037967519</v>
      </c>
    </row>
    <row r="113" spans="1:6">
      <c r="A113" s="11">
        <v>112</v>
      </c>
      <c r="B113" s="12">
        <v>43942</v>
      </c>
      <c r="C113" s="11">
        <v>70.131227480000007</v>
      </c>
      <c r="D113" s="11">
        <f t="shared" si="5"/>
        <v>70.253921406737589</v>
      </c>
      <c r="E113" s="11">
        <f t="shared" si="3"/>
        <v>-0.12269392673758261</v>
      </c>
      <c r="F113" s="11">
        <f t="shared" si="4"/>
        <v>1.5053799658287291E-2</v>
      </c>
    </row>
    <row r="114" spans="1:6">
      <c r="A114" s="11">
        <v>113</v>
      </c>
      <c r="B114" s="12">
        <v>43943</v>
      </c>
      <c r="C114" s="11">
        <v>69.565480440000002</v>
      </c>
      <c r="D114" s="11">
        <f t="shared" si="5"/>
        <v>69.110144440413194</v>
      </c>
      <c r="E114" s="11">
        <f t="shared" si="3"/>
        <v>0.45533599958680782</v>
      </c>
      <c r="F114" s="11">
        <f t="shared" si="4"/>
        <v>0.20733087251971744</v>
      </c>
    </row>
    <row r="115" spans="1:6">
      <c r="A115" s="11">
        <v>114</v>
      </c>
      <c r="B115" s="12">
        <v>43944</v>
      </c>
      <c r="C115" s="11">
        <v>69.409522920000001</v>
      </c>
      <c r="D115" s="11">
        <f t="shared" si="5"/>
        <v>69.801813829659608</v>
      </c>
      <c r="E115" s="11">
        <f t="shared" si="3"/>
        <v>-0.39229090965960722</v>
      </c>
      <c r="F115" s="11">
        <f t="shared" si="4"/>
        <v>0.15389215780156212</v>
      </c>
    </row>
    <row r="116" spans="1:6">
      <c r="A116" s="11">
        <v>115</v>
      </c>
      <c r="B116" s="12">
        <v>43945</v>
      </c>
      <c r="C116" s="11">
        <v>71.103852320000001</v>
      </c>
      <c r="D116" s="11">
        <f t="shared" si="5"/>
        <v>69.253146143122805</v>
      </c>
      <c r="E116" s="11">
        <f t="shared" si="3"/>
        <v>1.8507061768771962</v>
      </c>
      <c r="F116" s="11">
        <f t="shared" si="4"/>
        <v>3.4251133531314077</v>
      </c>
    </row>
    <row r="117" spans="1:6">
      <c r="A117" s="11">
        <v>116</v>
      </c>
      <c r="B117" s="12">
        <v>43946</v>
      </c>
      <c r="C117" s="11">
        <v>70.738173029999999</v>
      </c>
      <c r="D117" s="11">
        <f t="shared" si="5"/>
        <v>69.163728107268795</v>
      </c>
      <c r="E117" s="11">
        <f t="shared" si="3"/>
        <v>1.5744449227312032</v>
      </c>
      <c r="F117" s="11">
        <f t="shared" si="4"/>
        <v>2.4788768147140643</v>
      </c>
    </row>
    <row r="118" spans="1:6">
      <c r="A118" s="11">
        <v>117</v>
      </c>
      <c r="B118" s="12">
        <v>43947</v>
      </c>
      <c r="C118" s="11">
        <v>69.308606729999994</v>
      </c>
      <c r="D118" s="11">
        <f t="shared" si="5"/>
        <v>70.77726980533771</v>
      </c>
      <c r="E118" s="11">
        <f t="shared" si="3"/>
        <v>-1.4686630753377159</v>
      </c>
      <c r="F118" s="11">
        <f t="shared" si="4"/>
        <v>2.1569712288604372</v>
      </c>
    </row>
    <row r="119" spans="1:6">
      <c r="A119" s="11">
        <v>118</v>
      </c>
      <c r="B119" s="12">
        <v>43948</v>
      </c>
      <c r="C119" s="11">
        <v>68.899374440000003</v>
      </c>
      <c r="D119" s="11">
        <f t="shared" si="5"/>
        <v>70.375339422320693</v>
      </c>
      <c r="E119" s="11">
        <f t="shared" si="3"/>
        <v>-1.47596498232069</v>
      </c>
      <c r="F119" s="11">
        <f t="shared" si="4"/>
        <v>2.1784726290369147</v>
      </c>
    </row>
    <row r="120" spans="1:6">
      <c r="A120" s="11">
        <v>119</v>
      </c>
      <c r="B120" s="12">
        <v>43949</v>
      </c>
      <c r="C120" s="11">
        <v>70.568833229999996</v>
      </c>
      <c r="D120" s="11">
        <f t="shared" si="5"/>
        <v>68.988391197119583</v>
      </c>
      <c r="E120" s="11">
        <f t="shared" si="3"/>
        <v>1.5804420328804127</v>
      </c>
      <c r="F120" s="11">
        <f t="shared" si="4"/>
        <v>2.4977970192951715</v>
      </c>
    </row>
    <row r="121" spans="1:6">
      <c r="A121" s="11">
        <v>120</v>
      </c>
      <c r="B121" s="12">
        <v>43950</v>
      </c>
      <c r="C121" s="11">
        <v>70.118946930000007</v>
      </c>
      <c r="D121" s="11">
        <f t="shared" si="5"/>
        <v>68.654944237055702</v>
      </c>
      <c r="E121" s="11">
        <f t="shared" si="3"/>
        <v>1.4640026929443053</v>
      </c>
      <c r="F121" s="11">
        <f t="shared" si="4"/>
        <v>2.1433038849481778</v>
      </c>
    </row>
    <row r="122" spans="1:6">
      <c r="A122" s="11">
        <v>121</v>
      </c>
      <c r="B122" s="12">
        <v>43951</v>
      </c>
      <c r="C122" s="11">
        <v>69.513847339999998</v>
      </c>
      <c r="D122" s="11">
        <f t="shared" si="5"/>
        <v>70.241613222038694</v>
      </c>
      <c r="E122" s="11">
        <f t="shared" si="3"/>
        <v>-0.72776588203869608</v>
      </c>
      <c r="F122" s="11">
        <f t="shared" si="4"/>
        <v>0.52964317905956126</v>
      </c>
    </row>
    <row r="123" spans="1:6">
      <c r="A123" s="11">
        <v>122</v>
      </c>
      <c r="B123" s="12">
        <v>43952</v>
      </c>
      <c r="C123" s="11">
        <v>69.162331589999994</v>
      </c>
      <c r="D123" s="11">
        <f t="shared" si="5"/>
        <v>69.788186879630601</v>
      </c>
      <c r="E123" s="11">
        <f t="shared" si="3"/>
        <v>-0.6258552896306071</v>
      </c>
      <c r="F123" s="11">
        <f t="shared" si="4"/>
        <v>0.39169484355861112</v>
      </c>
    </row>
    <row r="124" spans="1:6">
      <c r="A124" s="11">
        <v>123</v>
      </c>
      <c r="B124" s="12">
        <v>43953</v>
      </c>
      <c r="C124" s="11">
        <v>69.827170240000001</v>
      </c>
      <c r="D124" s="11">
        <f t="shared" si="5"/>
        <v>69.194780827688092</v>
      </c>
      <c r="E124" s="11">
        <f t="shared" si="3"/>
        <v>0.63238941231190893</v>
      </c>
      <c r="F124" s="11">
        <f t="shared" si="4"/>
        <v>0.39991636880420156</v>
      </c>
    </row>
    <row r="125" spans="1:6">
      <c r="A125" s="11">
        <v>124</v>
      </c>
      <c r="B125" s="12">
        <v>43954</v>
      </c>
      <c r="C125" s="11">
        <v>69.762112909999999</v>
      </c>
      <c r="D125" s="11">
        <f t="shared" si="5"/>
        <v>68.880987315241597</v>
      </c>
      <c r="E125" s="11">
        <f t="shared" si="3"/>
        <v>0.88112559475840158</v>
      </c>
      <c r="F125" s="11">
        <f t="shared" si="4"/>
        <v>0.77638231373834687</v>
      </c>
    </row>
    <row r="126" spans="1:6">
      <c r="A126" s="11">
        <v>125</v>
      </c>
      <c r="B126" s="12">
        <v>43955</v>
      </c>
      <c r="C126" s="11">
        <v>68.30728062</v>
      </c>
      <c r="D126" s="11">
        <f t="shared" si="5"/>
        <v>69.516917028866899</v>
      </c>
      <c r="E126" s="11">
        <f t="shared" si="3"/>
        <v>-1.2096364088668992</v>
      </c>
      <c r="F126" s="11">
        <f t="shared" si="4"/>
        <v>1.463220241656408</v>
      </c>
    </row>
    <row r="127" spans="1:6">
      <c r="A127" s="11">
        <v>126</v>
      </c>
      <c r="B127" s="12">
        <v>43956</v>
      </c>
      <c r="C127" s="11">
        <v>68.168553560000007</v>
      </c>
      <c r="D127" s="11">
        <f t="shared" si="5"/>
        <v>69.402684510865797</v>
      </c>
      <c r="E127" s="11">
        <f t="shared" si="3"/>
        <v>-1.2341309508657901</v>
      </c>
      <c r="F127" s="11">
        <f t="shared" si="4"/>
        <v>1.523079203884899</v>
      </c>
    </row>
    <row r="128" spans="1:6">
      <c r="A128" s="11">
        <v>127</v>
      </c>
      <c r="B128" s="12">
        <v>43957</v>
      </c>
      <c r="C128" s="11">
        <v>68.476158909999995</v>
      </c>
      <c r="D128" s="11">
        <f t="shared" si="5"/>
        <v>68.001108216400397</v>
      </c>
      <c r="E128" s="11">
        <f t="shared" si="3"/>
        <v>0.47505069359959862</v>
      </c>
      <c r="F128" s="11">
        <f t="shared" si="4"/>
        <v>0.22567316148945973</v>
      </c>
    </row>
    <row r="129" spans="1:6">
      <c r="A129" s="11">
        <v>128</v>
      </c>
      <c r="B129" s="12">
        <v>43958</v>
      </c>
      <c r="C129" s="11">
        <v>70.878448660000004</v>
      </c>
      <c r="D129" s="11">
        <f t="shared" si="5"/>
        <v>67.878877913206907</v>
      </c>
      <c r="E129" s="11">
        <f t="shared" si="3"/>
        <v>2.999570746793097</v>
      </c>
      <c r="F129" s="11">
        <f t="shared" si="4"/>
        <v>8.9974246650168972</v>
      </c>
    </row>
    <row r="130" spans="1:6">
      <c r="A130" s="11">
        <v>129</v>
      </c>
      <c r="B130" s="12">
        <v>43959</v>
      </c>
      <c r="C130" s="11">
        <v>71.796895570000004</v>
      </c>
      <c r="D130" s="11">
        <f t="shared" si="5"/>
        <v>68.259676541409405</v>
      </c>
      <c r="E130" s="11">
        <f t="shared" si="3"/>
        <v>3.5372190285905987</v>
      </c>
      <c r="F130" s="11">
        <f t="shared" si="4"/>
        <v>12.511918456223418</v>
      </c>
    </row>
    <row r="131" spans="1:6">
      <c r="A131" s="11">
        <v>130</v>
      </c>
      <c r="B131" s="12">
        <v>43960</v>
      </c>
      <c r="C131" s="11">
        <v>71.401862120000004</v>
      </c>
      <c r="D131" s="11">
        <f t="shared" si="5"/>
        <v>70.598562226936309</v>
      </c>
      <c r="E131" s="11">
        <f t="shared" si="3"/>
        <v>0.80329989306369498</v>
      </c>
      <c r="F131" s="11">
        <f t="shared" si="4"/>
        <v>0.64529071819614381</v>
      </c>
    </row>
    <row r="132" spans="1:6">
      <c r="A132" s="11">
        <v>131</v>
      </c>
      <c r="B132" s="12">
        <v>43961</v>
      </c>
      <c r="C132" s="11">
        <v>69.796690290000001</v>
      </c>
      <c r="D132" s="11">
        <f t="shared" si="5"/>
        <v>71.46621202005079</v>
      </c>
      <c r="E132" s="11">
        <f t="shared" ref="E132:E195" si="6">C132-D132</f>
        <v>-1.6695217300507892</v>
      </c>
      <c r="F132" s="11">
        <f t="shared" ref="F132:F195" si="7">E132^2</f>
        <v>2.78730280711178</v>
      </c>
    </row>
    <row r="133" spans="1:6">
      <c r="A133" s="11">
        <v>132</v>
      </c>
      <c r="B133" s="12">
        <v>43962</v>
      </c>
      <c r="C133" s="11">
        <v>68.641663989999998</v>
      </c>
      <c r="D133" s="11">
        <f t="shared" ref="D133:D196" si="8">0.03559*C132+0.96*C131</f>
        <v>71.029851842621099</v>
      </c>
      <c r="E133" s="11">
        <f t="shared" si="6"/>
        <v>-2.3881878526211011</v>
      </c>
      <c r="F133" s="11">
        <f t="shared" si="7"/>
        <v>5.7034412194069866</v>
      </c>
    </row>
    <row r="134" spans="1:6">
      <c r="A134" s="11">
        <v>133</v>
      </c>
      <c r="B134" s="12">
        <v>43963</v>
      </c>
      <c r="C134" s="11">
        <v>68.738473709999994</v>
      </c>
      <c r="D134" s="11">
        <f t="shared" si="8"/>
        <v>69.447779499804099</v>
      </c>
      <c r="E134" s="11">
        <f t="shared" si="6"/>
        <v>-0.7093057898041053</v>
      </c>
      <c r="F134" s="11">
        <f t="shared" si="7"/>
        <v>0.50311470344962561</v>
      </c>
    </row>
    <row r="135" spans="1:6">
      <c r="A135" s="11">
        <v>134</v>
      </c>
      <c r="B135" s="12">
        <v>43964</v>
      </c>
      <c r="C135" s="11">
        <v>68.598704920000003</v>
      </c>
      <c r="D135" s="11">
        <f t="shared" si="8"/>
        <v>68.342399709738899</v>
      </c>
      <c r="E135" s="11">
        <f t="shared" si="6"/>
        <v>0.25630521026110387</v>
      </c>
      <c r="F135" s="11">
        <f t="shared" si="7"/>
        <v>6.5692360806988662E-2</v>
      </c>
    </row>
    <row r="136" spans="1:6">
      <c r="A136" s="11">
        <v>135</v>
      </c>
      <c r="B136" s="12">
        <v>43965</v>
      </c>
      <c r="C136" s="11">
        <v>72.034881229999996</v>
      </c>
      <c r="D136" s="11">
        <f t="shared" si="8"/>
        <v>68.430362669702788</v>
      </c>
      <c r="E136" s="11">
        <f t="shared" si="6"/>
        <v>3.6045185602972083</v>
      </c>
      <c r="F136" s="11">
        <f t="shared" si="7"/>
        <v>12.99255405152706</v>
      </c>
    </row>
    <row r="137" spans="1:6">
      <c r="A137" s="11">
        <v>136</v>
      </c>
      <c r="B137" s="12">
        <v>43966</v>
      </c>
      <c r="C137" s="11">
        <v>69.39599561</v>
      </c>
      <c r="D137" s="11">
        <f t="shared" si="8"/>
        <v>68.418478146175701</v>
      </c>
      <c r="E137" s="11">
        <f t="shared" si="6"/>
        <v>0.97751746382429872</v>
      </c>
      <c r="F137" s="11">
        <f t="shared" si="7"/>
        <v>0.95554039208148911</v>
      </c>
    </row>
    <row r="138" spans="1:6">
      <c r="A138" s="11">
        <v>137</v>
      </c>
      <c r="B138" s="12">
        <v>43967</v>
      </c>
      <c r="C138" s="11">
        <v>69.591141530000002</v>
      </c>
      <c r="D138" s="11">
        <f t="shared" si="8"/>
        <v>71.623289464559903</v>
      </c>
      <c r="E138" s="11">
        <f t="shared" si="6"/>
        <v>-2.0321479345599016</v>
      </c>
      <c r="F138" s="11">
        <f t="shared" si="7"/>
        <v>4.1296252279360743</v>
      </c>
    </row>
    <row r="139" spans="1:6">
      <c r="A139" s="11">
        <v>138</v>
      </c>
      <c r="B139" s="12">
        <v>43968</v>
      </c>
      <c r="C139" s="11">
        <v>68.651333940000001</v>
      </c>
      <c r="D139" s="11">
        <f t="shared" si="8"/>
        <v>69.096904512652685</v>
      </c>
      <c r="E139" s="11">
        <f t="shared" si="6"/>
        <v>-0.4455705726526844</v>
      </c>
      <c r="F139" s="11">
        <f t="shared" si="7"/>
        <v>0.19853313521404112</v>
      </c>
    </row>
    <row r="140" spans="1:6">
      <c r="A140" s="11">
        <v>139</v>
      </c>
      <c r="B140" s="12">
        <v>43969</v>
      </c>
      <c r="C140" s="11">
        <v>69.209114409999998</v>
      </c>
      <c r="D140" s="11">
        <f t="shared" si="8"/>
        <v>69.250796843724601</v>
      </c>
      <c r="E140" s="11">
        <f t="shared" si="6"/>
        <v>-4.1682433724602674E-2</v>
      </c>
      <c r="F140" s="11">
        <f t="shared" si="7"/>
        <v>1.7374252812058944E-3</v>
      </c>
    </row>
    <row r="141" spans="1:6">
      <c r="A141" s="11">
        <v>140</v>
      </c>
      <c r="B141" s="12">
        <v>43970</v>
      </c>
      <c r="C141" s="11">
        <v>68.942066519999997</v>
      </c>
      <c r="D141" s="11">
        <f t="shared" si="8"/>
        <v>68.368432964251895</v>
      </c>
      <c r="E141" s="11">
        <f t="shared" si="6"/>
        <v>0.57363355574810271</v>
      </c>
      <c r="F141" s="11">
        <f t="shared" si="7"/>
        <v>0.32905545628021166</v>
      </c>
    </row>
    <row r="142" spans="1:6">
      <c r="A142" s="11">
        <v>141</v>
      </c>
      <c r="B142" s="12">
        <v>43971</v>
      </c>
      <c r="C142" s="11">
        <v>68.42487663</v>
      </c>
      <c r="D142" s="11">
        <f t="shared" si="8"/>
        <v>68.894397981046794</v>
      </c>
      <c r="E142" s="11">
        <f t="shared" si="6"/>
        <v>-0.46952135104679371</v>
      </c>
      <c r="F142" s="11">
        <f t="shared" si="7"/>
        <v>0.22045029908880651</v>
      </c>
    </row>
    <row r="143" spans="1:6">
      <c r="A143" s="11">
        <v>142</v>
      </c>
      <c r="B143" s="12">
        <v>43972</v>
      </c>
      <c r="C143" s="11">
        <v>68.232109719999997</v>
      </c>
      <c r="D143" s="11">
        <f t="shared" si="8"/>
        <v>68.619625218461692</v>
      </c>
      <c r="E143" s="11">
        <f t="shared" si="6"/>
        <v>-0.38751549846169553</v>
      </c>
      <c r="F143" s="11">
        <f t="shared" si="7"/>
        <v>0.15016826154801635</v>
      </c>
    </row>
    <row r="144" spans="1:6">
      <c r="A144" s="11">
        <v>143</v>
      </c>
      <c r="B144" s="12">
        <v>43973</v>
      </c>
      <c r="C144" s="11">
        <v>71.166788999999994</v>
      </c>
      <c r="D144" s="11">
        <f t="shared" si="8"/>
        <v>68.116262349734797</v>
      </c>
      <c r="E144" s="11">
        <f t="shared" si="6"/>
        <v>3.0505266502651978</v>
      </c>
      <c r="F144" s="11">
        <f t="shared" si="7"/>
        <v>9.305712843978208</v>
      </c>
    </row>
    <row r="145" spans="1:6">
      <c r="A145" s="11">
        <v>144</v>
      </c>
      <c r="B145" s="12">
        <v>43974</v>
      </c>
      <c r="C145" s="11">
        <v>71.097452059999995</v>
      </c>
      <c r="D145" s="11">
        <f t="shared" si="8"/>
        <v>68.035651351710001</v>
      </c>
      <c r="E145" s="11">
        <f t="shared" si="6"/>
        <v>3.0618007082899936</v>
      </c>
      <c r="F145" s="11">
        <f t="shared" si="7"/>
        <v>9.3746235772851065</v>
      </c>
    </row>
    <row r="146" spans="1:6">
      <c r="A146" s="11">
        <v>145</v>
      </c>
      <c r="B146" s="12">
        <v>43975</v>
      </c>
      <c r="C146" s="11">
        <v>69.542732340000001</v>
      </c>
      <c r="D146" s="11">
        <f t="shared" si="8"/>
        <v>70.850475758815392</v>
      </c>
      <c r="E146" s="11">
        <f t="shared" si="6"/>
        <v>-1.3077434188153916</v>
      </c>
      <c r="F146" s="11">
        <f t="shared" si="7"/>
        <v>1.7101928494549687</v>
      </c>
    </row>
    <row r="147" spans="1:6">
      <c r="A147" s="11">
        <v>146</v>
      </c>
      <c r="B147" s="12">
        <v>43976</v>
      </c>
      <c r="C147" s="11">
        <v>69.95219075</v>
      </c>
      <c r="D147" s="11">
        <f t="shared" si="8"/>
        <v>70.728579821580595</v>
      </c>
      <c r="E147" s="11">
        <f t="shared" si="6"/>
        <v>-0.77638907158059567</v>
      </c>
      <c r="F147" s="11">
        <f t="shared" si="7"/>
        <v>0.60277999046977926</v>
      </c>
    </row>
    <row r="148" spans="1:6">
      <c r="A148" s="11">
        <v>147</v>
      </c>
      <c r="B148" s="12">
        <v>43977</v>
      </c>
      <c r="C148" s="11">
        <v>70.118844060000001</v>
      </c>
      <c r="D148" s="11">
        <f t="shared" si="8"/>
        <v>69.250621515192492</v>
      </c>
      <c r="E148" s="11">
        <f t="shared" si="6"/>
        <v>0.86822254480750871</v>
      </c>
      <c r="F148" s="11">
        <f t="shared" si="7"/>
        <v>0.75381038731202643</v>
      </c>
    </row>
    <row r="149" spans="1:6">
      <c r="A149" s="11">
        <v>148</v>
      </c>
      <c r="B149" s="12">
        <v>43978</v>
      </c>
      <c r="C149" s="11">
        <v>70.805682970000007</v>
      </c>
      <c r="D149" s="11">
        <f t="shared" si="8"/>
        <v>69.649632780095402</v>
      </c>
      <c r="E149" s="11">
        <f t="shared" si="6"/>
        <v>1.1560501899046045</v>
      </c>
      <c r="F149" s="11">
        <f t="shared" si="7"/>
        <v>1.3364520415784722</v>
      </c>
    </row>
    <row r="150" spans="1:6">
      <c r="A150" s="11">
        <v>149</v>
      </c>
      <c r="B150" s="12">
        <v>43979</v>
      </c>
      <c r="C150" s="11">
        <v>68.623499910000007</v>
      </c>
      <c r="D150" s="11">
        <f t="shared" si="8"/>
        <v>69.834064554502305</v>
      </c>
      <c r="E150" s="11">
        <f t="shared" si="6"/>
        <v>-1.2105646445022984</v>
      </c>
      <c r="F150" s="11">
        <f t="shared" si="7"/>
        <v>1.465466758518976</v>
      </c>
    </row>
    <row r="151" spans="1:6">
      <c r="A151" s="11">
        <v>150</v>
      </c>
      <c r="B151" s="12">
        <v>43980</v>
      </c>
      <c r="C151" s="11">
        <v>69.235998960000003</v>
      </c>
      <c r="D151" s="11">
        <f t="shared" si="8"/>
        <v>70.415766012996897</v>
      </c>
      <c r="E151" s="11">
        <f t="shared" si="6"/>
        <v>-1.179767052996894</v>
      </c>
      <c r="F151" s="11">
        <f t="shared" si="7"/>
        <v>1.3918502993369761</v>
      </c>
    </row>
    <row r="152" spans="1:6">
      <c r="A152" s="11">
        <v>151</v>
      </c>
      <c r="B152" s="12">
        <v>43981</v>
      </c>
      <c r="C152" s="11">
        <v>70.727244240000005</v>
      </c>
      <c r="D152" s="11">
        <f t="shared" si="8"/>
        <v>68.342669116586393</v>
      </c>
      <c r="E152" s="11">
        <f t="shared" si="6"/>
        <v>2.3845751234136117</v>
      </c>
      <c r="F152" s="11">
        <f t="shared" si="7"/>
        <v>5.6861985192030415</v>
      </c>
    </row>
    <row r="153" spans="1:6">
      <c r="A153" s="11">
        <v>152</v>
      </c>
      <c r="B153" s="12">
        <v>43982</v>
      </c>
      <c r="C153" s="11">
        <v>69.003948570000006</v>
      </c>
      <c r="D153" s="11">
        <f t="shared" si="8"/>
        <v>68.983741624101597</v>
      </c>
      <c r="E153" s="11">
        <f t="shared" si="6"/>
        <v>2.0206945898408435E-2</v>
      </c>
      <c r="F153" s="11">
        <f t="shared" si="7"/>
        <v>4.0832066254120549E-4</v>
      </c>
    </row>
    <row r="154" spans="1:6">
      <c r="A154" s="11">
        <v>153</v>
      </c>
      <c r="B154" s="12">
        <v>43983</v>
      </c>
      <c r="C154" s="11">
        <v>69.632391150000004</v>
      </c>
      <c r="D154" s="11">
        <f t="shared" si="8"/>
        <v>70.354005000006296</v>
      </c>
      <c r="E154" s="11">
        <f t="shared" si="6"/>
        <v>-0.72161385000629252</v>
      </c>
      <c r="F154" s="11">
        <f t="shared" si="7"/>
        <v>0.52072654852090405</v>
      </c>
    </row>
    <row r="155" spans="1:6">
      <c r="A155" s="11">
        <v>154</v>
      </c>
      <c r="B155" s="12">
        <v>43984</v>
      </c>
      <c r="C155" s="11">
        <v>71.77443169</v>
      </c>
      <c r="D155" s="11">
        <f t="shared" si="8"/>
        <v>68.722007428228494</v>
      </c>
      <c r="E155" s="11">
        <f t="shared" si="6"/>
        <v>3.0524242617715061</v>
      </c>
      <c r="F155" s="11">
        <f t="shared" si="7"/>
        <v>9.3172938738513231</v>
      </c>
    </row>
    <row r="156" spans="1:6">
      <c r="A156" s="11">
        <v>155</v>
      </c>
      <c r="B156" s="12">
        <v>43985</v>
      </c>
      <c r="C156" s="11">
        <v>71.160083970000002</v>
      </c>
      <c r="D156" s="11">
        <f t="shared" si="8"/>
        <v>69.4015475278471</v>
      </c>
      <c r="E156" s="11">
        <f t="shared" si="6"/>
        <v>1.7585364421529022</v>
      </c>
      <c r="F156" s="11">
        <f t="shared" si="7"/>
        <v>3.0924504183797876</v>
      </c>
    </row>
    <row r="157" spans="1:6">
      <c r="A157" s="11">
        <v>156</v>
      </c>
      <c r="B157" s="12">
        <v>43986</v>
      </c>
      <c r="C157" s="11">
        <v>70.985126809999997</v>
      </c>
      <c r="D157" s="11">
        <f t="shared" si="8"/>
        <v>71.436041810892306</v>
      </c>
      <c r="E157" s="11">
        <f t="shared" si="6"/>
        <v>-0.45091500089230863</v>
      </c>
      <c r="F157" s="11">
        <f t="shared" si="7"/>
        <v>0.2033243380297107</v>
      </c>
    </row>
    <row r="158" spans="1:6">
      <c r="A158" s="11">
        <v>157</v>
      </c>
      <c r="B158" s="12">
        <v>43987</v>
      </c>
      <c r="C158" s="11">
        <v>70.91362135</v>
      </c>
      <c r="D158" s="11">
        <f t="shared" si="8"/>
        <v>70.840041274367906</v>
      </c>
      <c r="E158" s="11">
        <f t="shared" si="6"/>
        <v>7.3580075632094122E-2</v>
      </c>
      <c r="F158" s="11">
        <f t="shared" si="7"/>
        <v>5.4140275300246909E-3</v>
      </c>
    </row>
    <row r="159" spans="1:6">
      <c r="A159" s="11">
        <v>158</v>
      </c>
      <c r="B159" s="12">
        <v>43988</v>
      </c>
      <c r="C159" s="11">
        <v>69.545129070000002</v>
      </c>
      <c r="D159" s="11">
        <f t="shared" si="8"/>
        <v>70.6695375214465</v>
      </c>
      <c r="E159" s="11">
        <f t="shared" si="6"/>
        <v>-1.1244084514464987</v>
      </c>
      <c r="F159" s="11">
        <f t="shared" si="7"/>
        <v>1.2642943656843133</v>
      </c>
    </row>
    <row r="160" spans="1:6">
      <c r="A160" s="11">
        <v>159</v>
      </c>
      <c r="B160" s="12">
        <v>43989</v>
      </c>
      <c r="C160" s="11">
        <v>69.492757769999997</v>
      </c>
      <c r="D160" s="11">
        <f t="shared" si="8"/>
        <v>70.5521876396013</v>
      </c>
      <c r="E160" s="11">
        <f t="shared" si="6"/>
        <v>-1.0594298696013027</v>
      </c>
      <c r="F160" s="11">
        <f t="shared" si="7"/>
        <v>1.1223916486034333</v>
      </c>
    </row>
    <row r="161" spans="1:6">
      <c r="A161" s="11">
        <v>160</v>
      </c>
      <c r="B161" s="12">
        <v>43990</v>
      </c>
      <c r="C161" s="11">
        <v>68.265121230000005</v>
      </c>
      <c r="D161" s="11">
        <f t="shared" si="8"/>
        <v>69.236571156234305</v>
      </c>
      <c r="E161" s="11">
        <f t="shared" si="6"/>
        <v>-0.97144992623429971</v>
      </c>
      <c r="F161" s="11">
        <f t="shared" si="7"/>
        <v>0.94371495918062631</v>
      </c>
    </row>
    <row r="162" spans="1:6">
      <c r="A162" s="11">
        <v>161</v>
      </c>
      <c r="B162" s="12">
        <v>43991</v>
      </c>
      <c r="C162" s="11">
        <v>68.659942369999996</v>
      </c>
      <c r="D162" s="11">
        <f t="shared" si="8"/>
        <v>69.1426031237757</v>
      </c>
      <c r="E162" s="11">
        <f t="shared" si="6"/>
        <v>-0.48266075377570417</v>
      </c>
      <c r="F162" s="11">
        <f t="shared" si="7"/>
        <v>0.23296140323533093</v>
      </c>
    </row>
    <row r="163" spans="1:6">
      <c r="A163" s="11">
        <v>162</v>
      </c>
      <c r="B163" s="12">
        <v>43992</v>
      </c>
      <c r="C163" s="11">
        <v>69.982117029999998</v>
      </c>
      <c r="D163" s="11">
        <f t="shared" si="8"/>
        <v>67.978123729748305</v>
      </c>
      <c r="E163" s="11">
        <f t="shared" si="6"/>
        <v>2.0039933002516932</v>
      </c>
      <c r="F163" s="11">
        <f t="shared" si="7"/>
        <v>4.0159891474536726</v>
      </c>
    </row>
    <row r="164" spans="1:6">
      <c r="A164" s="11">
        <v>163</v>
      </c>
      <c r="B164" s="12">
        <v>43993</v>
      </c>
      <c r="C164" s="11">
        <v>71.114388000000005</v>
      </c>
      <c r="D164" s="11">
        <f t="shared" si="8"/>
        <v>68.404208220297704</v>
      </c>
      <c r="E164" s="11">
        <f t="shared" si="6"/>
        <v>2.7101797797023011</v>
      </c>
      <c r="F164" s="11">
        <f t="shared" si="7"/>
        <v>7.3450744383072131</v>
      </c>
    </row>
    <row r="165" spans="1:6">
      <c r="A165" s="11">
        <v>164</v>
      </c>
      <c r="B165" s="12">
        <v>43994</v>
      </c>
      <c r="C165" s="11">
        <v>70.698609820000001</v>
      </c>
      <c r="D165" s="11">
        <f t="shared" si="8"/>
        <v>69.713793417719984</v>
      </c>
      <c r="E165" s="11">
        <f t="shared" si="6"/>
        <v>0.98481640228001766</v>
      </c>
      <c r="F165" s="11">
        <f t="shared" si="7"/>
        <v>0.96986334619975756</v>
      </c>
    </row>
    <row r="166" spans="1:6">
      <c r="A166" s="11">
        <v>165</v>
      </c>
      <c r="B166" s="12">
        <v>43995</v>
      </c>
      <c r="C166" s="11">
        <v>70.804833220000006</v>
      </c>
      <c r="D166" s="11">
        <f t="shared" si="8"/>
        <v>70.785976003493801</v>
      </c>
      <c r="E166" s="11">
        <f t="shared" si="6"/>
        <v>1.8857216506205532E-2</v>
      </c>
      <c r="F166" s="11">
        <f t="shared" si="7"/>
        <v>3.5559461436191034E-4</v>
      </c>
    </row>
    <row r="167" spans="1:6">
      <c r="A167" s="11">
        <v>166</v>
      </c>
      <c r="B167" s="12">
        <v>43996</v>
      </c>
      <c r="C167" s="11">
        <v>69.170410770000004</v>
      </c>
      <c r="D167" s="11">
        <f t="shared" si="8"/>
        <v>70.390609441499791</v>
      </c>
      <c r="E167" s="11">
        <f t="shared" si="6"/>
        <v>-1.2201986714997872</v>
      </c>
      <c r="F167" s="11">
        <f t="shared" si="7"/>
        <v>1.4888847979298456</v>
      </c>
    </row>
    <row r="168" spans="1:6">
      <c r="A168" s="11">
        <v>167</v>
      </c>
      <c r="B168" s="12">
        <v>43997</v>
      </c>
      <c r="C168" s="11">
        <v>69.159099220000002</v>
      </c>
      <c r="D168" s="11">
        <f t="shared" si="8"/>
        <v>70.434414810504308</v>
      </c>
      <c r="E168" s="11">
        <f t="shared" si="6"/>
        <v>-1.2753155905043059</v>
      </c>
      <c r="F168" s="11">
        <f t="shared" si="7"/>
        <v>1.6264298553833463</v>
      </c>
    </row>
    <row r="169" spans="1:6">
      <c r="A169" s="11">
        <v>168</v>
      </c>
      <c r="B169" s="12">
        <v>43998</v>
      </c>
      <c r="C169" s="11">
        <v>69.763615689999995</v>
      </c>
      <c r="D169" s="11">
        <f t="shared" si="8"/>
        <v>68.864966680439792</v>
      </c>
      <c r="E169" s="11">
        <f t="shared" si="6"/>
        <v>0.89864900956020222</v>
      </c>
      <c r="F169" s="11">
        <f t="shared" si="7"/>
        <v>0.80757004238353236</v>
      </c>
    </row>
    <row r="170" spans="1:6">
      <c r="A170" s="11">
        <v>169</v>
      </c>
      <c r="B170" s="12">
        <v>43999</v>
      </c>
      <c r="C170" s="11">
        <v>71.960030889999999</v>
      </c>
      <c r="D170" s="11">
        <f t="shared" si="8"/>
        <v>68.875622333607097</v>
      </c>
      <c r="E170" s="11">
        <f t="shared" si="6"/>
        <v>3.0844085563929013</v>
      </c>
      <c r="F170" s="11">
        <f t="shared" si="7"/>
        <v>9.5135761427497414</v>
      </c>
    </row>
    <row r="171" spans="1:6">
      <c r="A171" s="11">
        <v>170</v>
      </c>
      <c r="B171" s="12">
        <v>44000</v>
      </c>
      <c r="C171" s="11">
        <v>71.03276717</v>
      </c>
      <c r="D171" s="11">
        <f t="shared" si="8"/>
        <v>69.534128561775091</v>
      </c>
      <c r="E171" s="11">
        <f t="shared" si="6"/>
        <v>1.4986386082249084</v>
      </c>
      <c r="F171" s="11">
        <f t="shared" si="7"/>
        <v>2.2459176780622903</v>
      </c>
    </row>
    <row r="172" spans="1:6">
      <c r="A172" s="11">
        <v>171</v>
      </c>
      <c r="B172" s="12">
        <v>44001</v>
      </c>
      <c r="C172" s="11">
        <v>69.532634400000006</v>
      </c>
      <c r="D172" s="11">
        <f t="shared" si="8"/>
        <v>71.609685837980294</v>
      </c>
      <c r="E172" s="11">
        <f t="shared" si="6"/>
        <v>-2.0770514379802876</v>
      </c>
      <c r="F172" s="11">
        <f t="shared" si="7"/>
        <v>4.3141426760159804</v>
      </c>
    </row>
    <row r="173" spans="1:6">
      <c r="A173" s="11">
        <v>172</v>
      </c>
      <c r="B173" s="12">
        <v>44002</v>
      </c>
      <c r="C173" s="11">
        <v>69.431101709999993</v>
      </c>
      <c r="D173" s="11">
        <f t="shared" si="8"/>
        <v>70.666122941495999</v>
      </c>
      <c r="E173" s="11">
        <f t="shared" si="6"/>
        <v>-1.2350212314960061</v>
      </c>
      <c r="F173" s="11">
        <f t="shared" si="7"/>
        <v>1.5252774422459114</v>
      </c>
    </row>
    <row r="174" spans="1:6">
      <c r="A174" s="11">
        <v>173</v>
      </c>
      <c r="B174" s="12">
        <v>44003</v>
      </c>
      <c r="C174" s="11">
        <v>68.879757260000005</v>
      </c>
      <c r="D174" s="11">
        <f t="shared" si="8"/>
        <v>69.222381933858898</v>
      </c>
      <c r="E174" s="11">
        <f t="shared" si="6"/>
        <v>-0.34262467385889295</v>
      </c>
      <c r="F174" s="11">
        <f t="shared" si="7"/>
        <v>0.11739166713691276</v>
      </c>
    </row>
    <row r="175" spans="1:6">
      <c r="A175" s="11">
        <v>174</v>
      </c>
      <c r="B175" s="12">
        <v>44004</v>
      </c>
      <c r="C175" s="11">
        <v>69.691277690000007</v>
      </c>
      <c r="D175" s="11">
        <f t="shared" si="8"/>
        <v>69.105288202483379</v>
      </c>
      <c r="E175" s="11">
        <f t="shared" si="6"/>
        <v>0.58598948751662761</v>
      </c>
      <c r="F175" s="11">
        <f t="shared" si="7"/>
        <v>0.34338367947999987</v>
      </c>
    </row>
    <row r="176" spans="1:6">
      <c r="A176" s="11">
        <v>175</v>
      </c>
      <c r="B176" s="12">
        <v>44005</v>
      </c>
      <c r="C176" s="11">
        <v>69.785784219999996</v>
      </c>
      <c r="D176" s="11">
        <f t="shared" si="8"/>
        <v>68.604879542587099</v>
      </c>
      <c r="E176" s="11">
        <f t="shared" si="6"/>
        <v>1.1809046774128973</v>
      </c>
      <c r="F176" s="11">
        <f t="shared" si="7"/>
        <v>1.394535857135659</v>
      </c>
    </row>
    <row r="177" spans="1:6">
      <c r="A177" s="11">
        <v>176</v>
      </c>
      <c r="B177" s="12">
        <v>44006</v>
      </c>
      <c r="C177" s="11">
        <v>68.172759679999999</v>
      </c>
      <c r="D177" s="11">
        <f t="shared" si="8"/>
        <v>69.387302642789805</v>
      </c>
      <c r="E177" s="11">
        <f t="shared" si="6"/>
        <v>-1.2145429627898068</v>
      </c>
      <c r="F177" s="11">
        <f t="shared" si="7"/>
        <v>1.475114608462242</v>
      </c>
    </row>
    <row r="178" spans="1:6">
      <c r="A178" s="11">
        <v>177</v>
      </c>
      <c r="B178" s="12">
        <v>44007</v>
      </c>
      <c r="C178" s="11">
        <v>68.909333989999993</v>
      </c>
      <c r="D178" s="11">
        <f t="shared" si="8"/>
        <v>69.420621368211187</v>
      </c>
      <c r="E178" s="11">
        <f t="shared" si="6"/>
        <v>-0.5112873782111933</v>
      </c>
      <c r="F178" s="11">
        <f t="shared" si="7"/>
        <v>0.26141478311807581</v>
      </c>
    </row>
    <row r="179" spans="1:6">
      <c r="A179" s="11">
        <v>178</v>
      </c>
      <c r="B179" s="12">
        <v>44008</v>
      </c>
      <c r="C179" s="11">
        <v>69.576229400000003</v>
      </c>
      <c r="D179" s="11">
        <f t="shared" si="8"/>
        <v>67.898332489504085</v>
      </c>
      <c r="E179" s="11">
        <f t="shared" si="6"/>
        <v>1.6778969104959174</v>
      </c>
      <c r="F179" s="11">
        <f t="shared" si="7"/>
        <v>2.8153380422517444</v>
      </c>
    </row>
    <row r="180" spans="1:6">
      <c r="A180" s="11">
        <v>179</v>
      </c>
      <c r="B180" s="12">
        <v>44009</v>
      </c>
      <c r="C180" s="11">
        <v>68.440514140000005</v>
      </c>
      <c r="D180" s="11">
        <f t="shared" si="8"/>
        <v>68.629178634745983</v>
      </c>
      <c r="E180" s="11">
        <f t="shared" si="6"/>
        <v>-0.18866449474597857</v>
      </c>
      <c r="F180" s="11">
        <f t="shared" si="7"/>
        <v>3.5594291577755378E-2</v>
      </c>
    </row>
    <row r="181" spans="1:6">
      <c r="A181" s="11">
        <v>180</v>
      </c>
      <c r="B181" s="12">
        <v>44010</v>
      </c>
      <c r="C181" s="11">
        <v>69.124305509999999</v>
      </c>
      <c r="D181" s="11">
        <f t="shared" si="8"/>
        <v>69.228978122242594</v>
      </c>
      <c r="E181" s="11">
        <f t="shared" si="6"/>
        <v>-0.10467261224259516</v>
      </c>
      <c r="F181" s="11">
        <f t="shared" si="7"/>
        <v>1.0956355753688684E-2</v>
      </c>
    </row>
    <row r="182" spans="1:6">
      <c r="A182" s="11">
        <v>181</v>
      </c>
      <c r="B182" s="12">
        <v>44011</v>
      </c>
      <c r="C182" s="11">
        <v>71.43178503</v>
      </c>
      <c r="D182" s="11">
        <f t="shared" si="8"/>
        <v>68.163027607500908</v>
      </c>
      <c r="E182" s="11">
        <f t="shared" si="6"/>
        <v>3.2687574224990925</v>
      </c>
      <c r="F182" s="11">
        <f t="shared" si="7"/>
        <v>10.68477508714291</v>
      </c>
    </row>
    <row r="183" spans="1:6">
      <c r="A183" s="11">
        <v>182</v>
      </c>
      <c r="B183" s="12">
        <v>44012</v>
      </c>
      <c r="C183" s="11">
        <v>71.643083110000006</v>
      </c>
      <c r="D183" s="11">
        <f t="shared" si="8"/>
        <v>68.901590518817699</v>
      </c>
      <c r="E183" s="11">
        <f t="shared" si="6"/>
        <v>2.7414925911823076</v>
      </c>
      <c r="F183" s="11">
        <f t="shared" si="7"/>
        <v>7.5157816275074829</v>
      </c>
    </row>
    <row r="184" spans="1:6">
      <c r="A184" s="11">
        <v>183</v>
      </c>
      <c r="B184" s="12">
        <v>44013</v>
      </c>
      <c r="C184" s="11">
        <v>71.168241550000005</v>
      </c>
      <c r="D184" s="11">
        <f t="shared" si="8"/>
        <v>71.124290956684888</v>
      </c>
      <c r="E184" s="11">
        <f t="shared" si="6"/>
        <v>4.3950593315116748E-2</v>
      </c>
      <c r="F184" s="11">
        <f t="shared" si="7"/>
        <v>1.9316546527507849E-3</v>
      </c>
    </row>
    <row r="185" spans="1:6">
      <c r="A185" s="11">
        <v>184</v>
      </c>
      <c r="B185" s="12">
        <v>44014</v>
      </c>
      <c r="C185" s="11">
        <v>68.866523270000002</v>
      </c>
      <c r="D185" s="11">
        <f t="shared" si="8"/>
        <v>71.310237502364501</v>
      </c>
      <c r="E185" s="11">
        <f t="shared" si="6"/>
        <v>-2.4437142323644991</v>
      </c>
      <c r="F185" s="11">
        <f t="shared" si="7"/>
        <v>5.9717392494608132</v>
      </c>
    </row>
    <row r="186" spans="1:6">
      <c r="A186" s="11">
        <v>185</v>
      </c>
      <c r="B186" s="12">
        <v>44015</v>
      </c>
      <c r="C186" s="11">
        <v>69.446339870000003</v>
      </c>
      <c r="D186" s="11">
        <f t="shared" si="8"/>
        <v>70.7724714511793</v>
      </c>
      <c r="E186" s="11">
        <f t="shared" si="6"/>
        <v>-1.3261315811792969</v>
      </c>
      <c r="F186" s="11">
        <f t="shared" si="7"/>
        <v>1.7586249706011021</v>
      </c>
    </row>
    <row r="187" spans="1:6">
      <c r="A187" s="11">
        <v>186</v>
      </c>
      <c r="B187" s="12">
        <v>44016</v>
      </c>
      <c r="C187" s="11">
        <v>70.156296519999998</v>
      </c>
      <c r="D187" s="11">
        <f t="shared" si="8"/>
        <v>68.583457575173298</v>
      </c>
      <c r="E187" s="11">
        <f t="shared" si="6"/>
        <v>1.5728389448266995</v>
      </c>
      <c r="F187" s="11">
        <f t="shared" si="7"/>
        <v>2.4738223463635656</v>
      </c>
    </row>
    <row r="188" spans="1:6">
      <c r="A188" s="11">
        <v>187</v>
      </c>
      <c r="B188" s="12">
        <v>44017</v>
      </c>
      <c r="C188" s="11">
        <v>70.788921189999996</v>
      </c>
      <c r="D188" s="11">
        <f t="shared" si="8"/>
        <v>69.165348868346797</v>
      </c>
      <c r="E188" s="11">
        <f t="shared" si="6"/>
        <v>1.6235723216531994</v>
      </c>
      <c r="F188" s="11">
        <f t="shared" si="7"/>
        <v>2.6359870836383599</v>
      </c>
    </row>
    <row r="189" spans="1:6">
      <c r="A189" s="11">
        <v>188</v>
      </c>
      <c r="B189" s="12">
        <v>44018</v>
      </c>
      <c r="C189" s="11">
        <v>70.849092380000002</v>
      </c>
      <c r="D189" s="11">
        <f t="shared" si="8"/>
        <v>69.86942236435209</v>
      </c>
      <c r="E189" s="11">
        <f t="shared" si="6"/>
        <v>0.9796700156479119</v>
      </c>
      <c r="F189" s="11">
        <f t="shared" si="7"/>
        <v>0.95975333955957998</v>
      </c>
    </row>
    <row r="190" spans="1:6">
      <c r="A190" s="11">
        <v>189</v>
      </c>
      <c r="B190" s="12">
        <v>44019</v>
      </c>
      <c r="C190" s="11">
        <v>68.912998349999995</v>
      </c>
      <c r="D190" s="11">
        <f t="shared" si="8"/>
        <v>70.478883540204194</v>
      </c>
      <c r="E190" s="11">
        <f t="shared" si="6"/>
        <v>-1.5658851902041988</v>
      </c>
      <c r="F190" s="11">
        <f t="shared" si="7"/>
        <v>2.45199642890084</v>
      </c>
    </row>
    <row r="191" spans="1:6">
      <c r="A191" s="11">
        <v>190</v>
      </c>
      <c r="B191" s="12">
        <v>44020</v>
      </c>
      <c r="C191" s="11">
        <v>69.051670479999999</v>
      </c>
      <c r="D191" s="11">
        <f t="shared" si="8"/>
        <v>70.467742296076509</v>
      </c>
      <c r="E191" s="11">
        <f t="shared" si="6"/>
        <v>-1.41607181607651</v>
      </c>
      <c r="F191" s="11">
        <f t="shared" si="7"/>
        <v>2.0052593882862251</v>
      </c>
    </row>
    <row r="192" spans="1:6">
      <c r="A192" s="11">
        <v>191</v>
      </c>
      <c r="B192" s="12">
        <v>44021</v>
      </c>
      <c r="C192" s="11">
        <v>68.99923192</v>
      </c>
      <c r="D192" s="11">
        <f t="shared" si="8"/>
        <v>68.614027368383205</v>
      </c>
      <c r="E192" s="11">
        <f t="shared" si="6"/>
        <v>0.38520455161679479</v>
      </c>
      <c r="F192" s="11">
        <f t="shared" si="7"/>
        <v>0.14838254658629593</v>
      </c>
    </row>
    <row r="193" spans="1:6">
      <c r="A193" s="11">
        <v>192</v>
      </c>
      <c r="B193" s="12">
        <v>44022</v>
      </c>
      <c r="C193" s="11">
        <v>69.633953919999996</v>
      </c>
      <c r="D193" s="11">
        <f t="shared" si="8"/>
        <v>68.74528632483279</v>
      </c>
      <c r="E193" s="11">
        <f t="shared" si="6"/>
        <v>0.88866759516720606</v>
      </c>
      <c r="F193" s="11">
        <f t="shared" si="7"/>
        <v>0.78973009470026523</v>
      </c>
    </row>
    <row r="194" spans="1:6">
      <c r="A194" s="11">
        <v>193</v>
      </c>
      <c r="B194" s="12">
        <v>44023</v>
      </c>
      <c r="C194" s="11">
        <v>69.183201850000003</v>
      </c>
      <c r="D194" s="11">
        <f t="shared" si="8"/>
        <v>68.717535063212793</v>
      </c>
      <c r="E194" s="11">
        <f t="shared" si="6"/>
        <v>0.46566678678721019</v>
      </c>
      <c r="F194" s="11">
        <f t="shared" si="7"/>
        <v>0.21684555631672506</v>
      </c>
    </row>
    <row r="195" spans="1:6">
      <c r="A195" s="11">
        <v>194</v>
      </c>
      <c r="B195" s="12">
        <v>44024</v>
      </c>
      <c r="C195" s="11">
        <v>70.932205300000007</v>
      </c>
      <c r="D195" s="11">
        <f t="shared" si="8"/>
        <v>69.310825917041498</v>
      </c>
      <c r="E195" s="11">
        <f t="shared" si="6"/>
        <v>1.6213793829585086</v>
      </c>
      <c r="F195" s="11">
        <f t="shared" si="7"/>
        <v>2.628871103482914</v>
      </c>
    </row>
    <row r="196" spans="1:6">
      <c r="A196" s="11">
        <v>195</v>
      </c>
      <c r="B196" s="12">
        <v>44025</v>
      </c>
      <c r="C196" s="11">
        <v>69.945390239999995</v>
      </c>
      <c r="D196" s="11">
        <f t="shared" si="8"/>
        <v>68.940350962626994</v>
      </c>
      <c r="E196" s="11">
        <f t="shared" ref="E196:E259" si="9">C196-D196</f>
        <v>1.005039277373001</v>
      </c>
      <c r="F196" s="11">
        <f t="shared" ref="F196:F259" si="10">E196^2</f>
        <v>1.0101039490624442</v>
      </c>
    </row>
    <row r="197" spans="1:6">
      <c r="A197" s="11">
        <v>196</v>
      </c>
      <c r="B197" s="12">
        <v>44026</v>
      </c>
      <c r="C197" s="11">
        <v>68.788630400000002</v>
      </c>
      <c r="D197" s="11">
        <f t="shared" ref="D197:D260" si="11">0.03559*C196+0.96*C195</f>
        <v>70.584273526641596</v>
      </c>
      <c r="E197" s="11">
        <f t="shared" si="9"/>
        <v>-1.7956431266415933</v>
      </c>
      <c r="F197" s="11">
        <f t="shared" si="10"/>
        <v>3.2243342382551972</v>
      </c>
    </row>
    <row r="198" spans="1:6">
      <c r="A198" s="11">
        <v>197</v>
      </c>
      <c r="B198" s="12">
        <v>44027</v>
      </c>
      <c r="C198" s="11">
        <v>69.36414757</v>
      </c>
      <c r="D198" s="11">
        <f t="shared" si="11"/>
        <v>69.595761986335987</v>
      </c>
      <c r="E198" s="11">
        <f t="shared" si="9"/>
        <v>-0.23161441633598656</v>
      </c>
      <c r="F198" s="11">
        <f t="shared" si="10"/>
        <v>5.3645237854659716E-2</v>
      </c>
    </row>
    <row r="199" spans="1:6">
      <c r="A199" s="11">
        <v>198</v>
      </c>
      <c r="B199" s="12">
        <v>44028</v>
      </c>
      <c r="C199" s="11">
        <v>68.904800359999996</v>
      </c>
      <c r="D199" s="11">
        <f t="shared" si="11"/>
        <v>68.50575519601631</v>
      </c>
      <c r="E199" s="11">
        <f t="shared" si="9"/>
        <v>0.39904516398368628</v>
      </c>
      <c r="F199" s="11">
        <f t="shared" si="10"/>
        <v>0.15923704289876708</v>
      </c>
    </row>
    <row r="200" spans="1:6">
      <c r="A200" s="11">
        <v>199</v>
      </c>
      <c r="B200" s="12">
        <v>44029</v>
      </c>
      <c r="C200" s="11">
        <v>69.108972640000005</v>
      </c>
      <c r="D200" s="11">
        <f t="shared" si="11"/>
        <v>69.041903512012397</v>
      </c>
      <c r="E200" s="11">
        <f t="shared" si="9"/>
        <v>6.7069127987608113E-2</v>
      </c>
      <c r="F200" s="11">
        <f t="shared" si="10"/>
        <v>4.4982679290181578E-3</v>
      </c>
    </row>
    <row r="201" spans="1:6">
      <c r="A201" s="11">
        <v>200</v>
      </c>
      <c r="B201" s="12">
        <v>44030</v>
      </c>
      <c r="C201" s="11">
        <v>68.963978879999999</v>
      </c>
      <c r="D201" s="11">
        <f t="shared" si="11"/>
        <v>68.608196681857592</v>
      </c>
      <c r="E201" s="11">
        <f t="shared" si="9"/>
        <v>0.35578219814240697</v>
      </c>
      <c r="F201" s="11">
        <f t="shared" si="10"/>
        <v>0.12658097251504294</v>
      </c>
    </row>
    <row r="202" spans="1:6">
      <c r="A202" s="11">
        <v>201</v>
      </c>
      <c r="B202" s="12">
        <v>44031</v>
      </c>
      <c r="C202" s="11">
        <v>71.056867600000004</v>
      </c>
      <c r="D202" s="11">
        <f t="shared" si="11"/>
        <v>68.799041742739206</v>
      </c>
      <c r="E202" s="11">
        <f t="shared" si="9"/>
        <v>2.2578258572607979</v>
      </c>
      <c r="F202" s="11">
        <f t="shared" si="10"/>
        <v>5.0977776017154568</v>
      </c>
    </row>
    <row r="203" spans="1:6">
      <c r="A203" s="11">
        <v>202</v>
      </c>
      <c r="B203" s="12">
        <v>44032</v>
      </c>
      <c r="C203" s="11">
        <v>71.730730719999997</v>
      </c>
      <c r="D203" s="11">
        <f t="shared" si="11"/>
        <v>68.734333642683993</v>
      </c>
      <c r="E203" s="11">
        <f t="shared" si="9"/>
        <v>2.9963970773160042</v>
      </c>
      <c r="F203" s="11">
        <f t="shared" si="10"/>
        <v>8.9783954449478927</v>
      </c>
    </row>
    <row r="204" spans="1:6">
      <c r="A204" s="11">
        <v>203</v>
      </c>
      <c r="B204" s="12">
        <v>44033</v>
      </c>
      <c r="C204" s="11">
        <v>70.663908640000002</v>
      </c>
      <c r="D204" s="11">
        <f t="shared" si="11"/>
        <v>70.767489602324801</v>
      </c>
      <c r="E204" s="11">
        <f t="shared" si="9"/>
        <v>-0.10358096232479852</v>
      </c>
      <c r="F204" s="11">
        <f t="shared" si="10"/>
        <v>1.0729015756131331E-2</v>
      </c>
    </row>
    <row r="205" spans="1:6">
      <c r="A205" s="11">
        <v>204</v>
      </c>
      <c r="B205" s="12">
        <v>44034</v>
      </c>
      <c r="C205" s="11">
        <v>69.487908910000002</v>
      </c>
      <c r="D205" s="11">
        <f t="shared" si="11"/>
        <v>71.376429999697592</v>
      </c>
      <c r="E205" s="11">
        <f t="shared" si="9"/>
        <v>-1.8885210896975906</v>
      </c>
      <c r="F205" s="11">
        <f t="shared" si="10"/>
        <v>3.566511906232575</v>
      </c>
    </row>
    <row r="206" spans="1:6">
      <c r="A206" s="11">
        <v>205</v>
      </c>
      <c r="B206" s="12">
        <v>44035</v>
      </c>
      <c r="C206" s="11">
        <v>70.434490370000006</v>
      </c>
      <c r="D206" s="11">
        <f t="shared" si="11"/>
        <v>70.310426972506903</v>
      </c>
      <c r="E206" s="11">
        <f t="shared" si="9"/>
        <v>0.12406339749310291</v>
      </c>
      <c r="F206" s="11">
        <f t="shared" si="10"/>
        <v>1.5391726597531654E-2</v>
      </c>
    </row>
    <row r="207" spans="1:6">
      <c r="A207" s="11">
        <v>206</v>
      </c>
      <c r="B207" s="12">
        <v>44036</v>
      </c>
      <c r="C207" s="11">
        <v>70.819525630000001</v>
      </c>
      <c r="D207" s="11">
        <f t="shared" si="11"/>
        <v>69.215156065868285</v>
      </c>
      <c r="E207" s="11">
        <f t="shared" si="9"/>
        <v>1.6043695641317157</v>
      </c>
      <c r="F207" s="11">
        <f t="shared" si="10"/>
        <v>2.5740016983121916</v>
      </c>
    </row>
    <row r="208" spans="1:6">
      <c r="A208" s="11">
        <v>207</v>
      </c>
      <c r="B208" s="12">
        <v>44037</v>
      </c>
      <c r="C208" s="11">
        <v>70.859420670000006</v>
      </c>
      <c r="D208" s="11">
        <f t="shared" si="11"/>
        <v>70.137577672371705</v>
      </c>
      <c r="E208" s="11">
        <f t="shared" si="9"/>
        <v>0.72184299762830051</v>
      </c>
      <c r="F208" s="11">
        <f t="shared" si="10"/>
        <v>0.5210573132250107</v>
      </c>
    </row>
    <row r="209" spans="1:6">
      <c r="A209" s="11">
        <v>208</v>
      </c>
      <c r="B209" s="12">
        <v>44038</v>
      </c>
      <c r="C209" s="11">
        <v>70.243602480000007</v>
      </c>
      <c r="D209" s="11">
        <f t="shared" si="11"/>
        <v>70.508631386445302</v>
      </c>
      <c r="E209" s="11">
        <f t="shared" si="9"/>
        <v>-0.26502890644529487</v>
      </c>
      <c r="F209" s="11">
        <f t="shared" si="10"/>
        <v>7.0240321251588855E-2</v>
      </c>
    </row>
    <row r="210" spans="1:6">
      <c r="A210" s="11">
        <v>209</v>
      </c>
      <c r="B210" s="12">
        <v>44039</v>
      </c>
      <c r="C210" s="11">
        <v>68.200105260000001</v>
      </c>
      <c r="D210" s="11">
        <f t="shared" si="11"/>
        <v>70.525013655463212</v>
      </c>
      <c r="E210" s="11">
        <f t="shared" si="9"/>
        <v>-2.3249083954632113</v>
      </c>
      <c r="F210" s="11">
        <f t="shared" si="10"/>
        <v>5.4051990472953237</v>
      </c>
    </row>
    <row r="211" spans="1:6">
      <c r="A211" s="11">
        <v>210</v>
      </c>
      <c r="B211" s="12">
        <v>44040</v>
      </c>
      <c r="C211" s="11">
        <v>68.734516429999999</v>
      </c>
      <c r="D211" s="11">
        <f t="shared" si="11"/>
        <v>69.861100127003397</v>
      </c>
      <c r="E211" s="11">
        <f t="shared" si="9"/>
        <v>-1.1265836970033973</v>
      </c>
      <c r="F211" s="11">
        <f t="shared" si="10"/>
        <v>1.2691908263538425</v>
      </c>
    </row>
    <row r="212" spans="1:6">
      <c r="A212" s="11">
        <v>211</v>
      </c>
      <c r="B212" s="12">
        <v>44041</v>
      </c>
      <c r="C212" s="11">
        <v>69.24818836</v>
      </c>
      <c r="D212" s="11">
        <f t="shared" si="11"/>
        <v>67.918362489343693</v>
      </c>
      <c r="E212" s="11">
        <f t="shared" si="9"/>
        <v>1.3298258706563075</v>
      </c>
      <c r="F212" s="11">
        <f t="shared" si="10"/>
        <v>1.7684368462668063</v>
      </c>
    </row>
    <row r="213" spans="1:6">
      <c r="A213" s="11">
        <v>212</v>
      </c>
      <c r="B213" s="12">
        <v>44042</v>
      </c>
      <c r="C213" s="11">
        <v>70.573613359999996</v>
      </c>
      <c r="D213" s="11">
        <f t="shared" si="11"/>
        <v>68.449678796532396</v>
      </c>
      <c r="E213" s="11">
        <f t="shared" si="9"/>
        <v>2.1239345634675999</v>
      </c>
      <c r="F213" s="11">
        <f t="shared" si="10"/>
        <v>4.5110980298923042</v>
      </c>
    </row>
    <row r="214" spans="1:6">
      <c r="A214" s="11">
        <v>213</v>
      </c>
      <c r="B214" s="12">
        <v>44043</v>
      </c>
      <c r="C214" s="11">
        <v>71.581553940000006</v>
      </c>
      <c r="D214" s="11">
        <f t="shared" si="11"/>
        <v>68.989975725082402</v>
      </c>
      <c r="E214" s="11">
        <f t="shared" si="9"/>
        <v>2.5915782149176039</v>
      </c>
      <c r="F214" s="11">
        <f t="shared" si="10"/>
        <v>6.7162776440355145</v>
      </c>
    </row>
    <row r="215" spans="1:6">
      <c r="A215" s="11">
        <v>214</v>
      </c>
      <c r="B215" s="12">
        <v>44044</v>
      </c>
      <c r="C215" s="11">
        <v>70.118897309999994</v>
      </c>
      <c r="D215" s="11">
        <f t="shared" si="11"/>
        <v>70.298256330324591</v>
      </c>
      <c r="E215" s="11">
        <f t="shared" si="9"/>
        <v>-0.17935902032459694</v>
      </c>
      <c r="F215" s="11">
        <f t="shared" si="10"/>
        <v>3.2169658171799176E-2</v>
      </c>
    </row>
    <row r="216" spans="1:6">
      <c r="A216" s="11">
        <v>215</v>
      </c>
      <c r="B216" s="12">
        <v>44045</v>
      </c>
      <c r="C216" s="11">
        <v>70.065257439999996</v>
      </c>
      <c r="D216" s="11">
        <f t="shared" si="11"/>
        <v>71.213823337662902</v>
      </c>
      <c r="E216" s="11">
        <f t="shared" si="9"/>
        <v>-1.1485658976629054</v>
      </c>
      <c r="F216" s="11">
        <f t="shared" si="10"/>
        <v>1.3192036212741958</v>
      </c>
    </row>
    <row r="217" spans="1:6">
      <c r="A217" s="11">
        <v>216</v>
      </c>
      <c r="B217" s="12">
        <v>44046</v>
      </c>
      <c r="C217" s="11">
        <v>71.739364269999996</v>
      </c>
      <c r="D217" s="11">
        <f t="shared" si="11"/>
        <v>69.807763929889603</v>
      </c>
      <c r="E217" s="11">
        <f t="shared" si="9"/>
        <v>1.9316003401103927</v>
      </c>
      <c r="F217" s="11">
        <f t="shared" si="10"/>
        <v>3.731079873914585</v>
      </c>
    </row>
    <row r="218" spans="1:6">
      <c r="A218" s="11">
        <v>217</v>
      </c>
      <c r="B218" s="12">
        <v>44047</v>
      </c>
      <c r="C218" s="11">
        <v>70.356328610000006</v>
      </c>
      <c r="D218" s="11">
        <f t="shared" si="11"/>
        <v>69.815851116769295</v>
      </c>
      <c r="E218" s="11">
        <f t="shared" si="9"/>
        <v>0.54047749323071059</v>
      </c>
      <c r="F218" s="11">
        <f t="shared" si="10"/>
        <v>0.29211592068895281</v>
      </c>
    </row>
    <row r="219" spans="1:6">
      <c r="A219" s="11">
        <v>218</v>
      </c>
      <c r="B219" s="12">
        <v>44048</v>
      </c>
      <c r="C219" s="11">
        <v>71.373909620000006</v>
      </c>
      <c r="D219" s="11">
        <f t="shared" si="11"/>
        <v>71.373771434429898</v>
      </c>
      <c r="E219" s="11">
        <f t="shared" si="9"/>
        <v>1.381855701083623E-4</v>
      </c>
      <c r="F219" s="11">
        <f t="shared" si="10"/>
        <v>1.9095251786173111E-8</v>
      </c>
    </row>
    <row r="220" spans="1:6">
      <c r="A220" s="11">
        <v>219</v>
      </c>
      <c r="B220" s="12">
        <v>44049</v>
      </c>
      <c r="C220" s="11">
        <v>69.864861349999998</v>
      </c>
      <c r="D220" s="11">
        <f t="shared" si="11"/>
        <v>70.08227290897581</v>
      </c>
      <c r="E220" s="11">
        <f t="shared" si="9"/>
        <v>-0.21741155897581166</v>
      </c>
      <c r="F220" s="11">
        <f t="shared" si="10"/>
        <v>4.7267785976292831E-2</v>
      </c>
    </row>
    <row r="221" spans="1:6">
      <c r="A221" s="11">
        <v>220</v>
      </c>
      <c r="B221" s="12">
        <v>44050</v>
      </c>
      <c r="C221" s="11">
        <v>69.529703679999997</v>
      </c>
      <c r="D221" s="11">
        <f t="shared" si="11"/>
        <v>71.005443650646498</v>
      </c>
      <c r="E221" s="11">
        <f t="shared" si="9"/>
        <v>-1.4757399706465009</v>
      </c>
      <c r="F221" s="11">
        <f t="shared" si="10"/>
        <v>2.1778084609637354</v>
      </c>
    </row>
    <row r="222" spans="1:6">
      <c r="A222" s="11">
        <v>221</v>
      </c>
      <c r="B222" s="12">
        <v>44051</v>
      </c>
      <c r="C222" s="11">
        <v>69.747218189999998</v>
      </c>
      <c r="D222" s="11">
        <f t="shared" si="11"/>
        <v>69.544829049971199</v>
      </c>
      <c r="E222" s="11">
        <f t="shared" si="9"/>
        <v>0.20238914002879937</v>
      </c>
      <c r="F222" s="11">
        <f t="shared" si="10"/>
        <v>4.0961364001596959E-2</v>
      </c>
    </row>
    <row r="223" spans="1:6">
      <c r="A223" s="11">
        <v>222</v>
      </c>
      <c r="B223" s="12">
        <v>44052</v>
      </c>
      <c r="C223" s="11">
        <v>70.000918709999993</v>
      </c>
      <c r="D223" s="11">
        <f t="shared" si="11"/>
        <v>69.230819028182097</v>
      </c>
      <c r="E223" s="11">
        <f t="shared" si="9"/>
        <v>0.77009968181789645</v>
      </c>
      <c r="F223" s="11">
        <f t="shared" si="10"/>
        <v>0.5930535199360254</v>
      </c>
    </row>
    <row r="224" spans="1:6">
      <c r="A224" s="11">
        <v>223</v>
      </c>
      <c r="B224" s="12">
        <v>44053</v>
      </c>
      <c r="C224" s="11">
        <v>69.238707730000002</v>
      </c>
      <c r="D224" s="11">
        <f t="shared" si="11"/>
        <v>69.448662159288901</v>
      </c>
      <c r="E224" s="11">
        <f t="shared" si="9"/>
        <v>-0.20995442928889929</v>
      </c>
      <c r="F224" s="11">
        <f t="shared" si="10"/>
        <v>4.4080862378027413E-2</v>
      </c>
    </row>
    <row r="225" spans="1:6">
      <c r="A225" s="11">
        <v>224</v>
      </c>
      <c r="B225" s="12">
        <v>44054</v>
      </c>
      <c r="C225" s="11">
        <v>68.95176592</v>
      </c>
      <c r="D225" s="11">
        <f t="shared" si="11"/>
        <v>69.665087569710693</v>
      </c>
      <c r="E225" s="11">
        <f t="shared" si="9"/>
        <v>-0.7133216497106929</v>
      </c>
      <c r="F225" s="11">
        <f t="shared" si="10"/>
        <v>0.5088277759459845</v>
      </c>
    </row>
    <row r="226" spans="1:6">
      <c r="A226" s="11">
        <v>225</v>
      </c>
      <c r="B226" s="12">
        <v>44055</v>
      </c>
      <c r="C226" s="11">
        <v>68.931726949999998</v>
      </c>
      <c r="D226" s="11">
        <f t="shared" si="11"/>
        <v>68.923152769892795</v>
      </c>
      <c r="E226" s="11">
        <f t="shared" si="9"/>
        <v>8.5741801072032331E-3</v>
      </c>
      <c r="F226" s="11">
        <f t="shared" si="10"/>
        <v>7.3516564510759649E-5</v>
      </c>
    </row>
    <row r="227" spans="1:6">
      <c r="A227" s="11">
        <v>226</v>
      </c>
      <c r="B227" s="12">
        <v>44056</v>
      </c>
      <c r="C227" s="11">
        <v>70.000468990000002</v>
      </c>
      <c r="D227" s="11">
        <f t="shared" si="11"/>
        <v>68.646975445350506</v>
      </c>
      <c r="E227" s="11">
        <f t="shared" si="9"/>
        <v>1.3534935446494956</v>
      </c>
      <c r="F227" s="11">
        <f t="shared" si="10"/>
        <v>1.8319447754078559</v>
      </c>
    </row>
    <row r="228" spans="1:6">
      <c r="A228" s="11">
        <v>227</v>
      </c>
      <c r="B228" s="12">
        <v>44057</v>
      </c>
      <c r="C228" s="11">
        <v>70.650798420000001</v>
      </c>
      <c r="D228" s="11">
        <f t="shared" si="11"/>
        <v>68.665774563354091</v>
      </c>
      <c r="E228" s="11">
        <f t="shared" si="9"/>
        <v>1.9850238566459097</v>
      </c>
      <c r="F228" s="11">
        <f t="shared" si="10"/>
        <v>3.9403197114534012</v>
      </c>
    </row>
    <row r="229" spans="1:6">
      <c r="A229" s="11">
        <v>228</v>
      </c>
      <c r="B229" s="12">
        <v>44058</v>
      </c>
      <c r="C229" s="11">
        <v>72.616282690000006</v>
      </c>
      <c r="D229" s="11">
        <f t="shared" si="11"/>
        <v>69.714912146167791</v>
      </c>
      <c r="E229" s="11">
        <f t="shared" si="9"/>
        <v>2.9013705438322148</v>
      </c>
      <c r="F229" s="11">
        <f t="shared" si="10"/>
        <v>8.4179510326172426</v>
      </c>
    </row>
    <row r="230" spans="1:6">
      <c r="A230" s="11">
        <v>229</v>
      </c>
      <c r="B230" s="12">
        <v>44059</v>
      </c>
      <c r="C230" s="11">
        <v>72.745519090000002</v>
      </c>
      <c r="D230" s="11">
        <f t="shared" si="11"/>
        <v>70.409179984137097</v>
      </c>
      <c r="E230" s="11">
        <f t="shared" si="9"/>
        <v>2.3363391058629048</v>
      </c>
      <c r="F230" s="11">
        <f t="shared" si="10"/>
        <v>5.458480417584278</v>
      </c>
    </row>
    <row r="231" spans="1:6">
      <c r="A231" s="11">
        <v>230</v>
      </c>
      <c r="B231" s="12">
        <v>44060</v>
      </c>
      <c r="C231" s="11">
        <v>70.352583409999994</v>
      </c>
      <c r="D231" s="11">
        <f t="shared" si="11"/>
        <v>72.300644406813106</v>
      </c>
      <c r="E231" s="11">
        <f t="shared" si="9"/>
        <v>-1.948060996813112</v>
      </c>
      <c r="F231" s="11">
        <f t="shared" si="10"/>
        <v>3.7949416473044955</v>
      </c>
    </row>
    <row r="232" spans="1:6">
      <c r="A232" s="11">
        <v>231</v>
      </c>
      <c r="B232" s="12">
        <v>44061</v>
      </c>
      <c r="C232" s="11">
        <v>69.712763929999994</v>
      </c>
      <c r="D232" s="11">
        <f t="shared" si="11"/>
        <v>72.339546769961885</v>
      </c>
      <c r="E232" s="11">
        <f t="shared" si="9"/>
        <v>-2.6267828399618907</v>
      </c>
      <c r="F232" s="11">
        <f t="shared" si="10"/>
        <v>6.8999880883182554</v>
      </c>
    </row>
    <row r="233" spans="1:6">
      <c r="A233" s="11">
        <v>232</v>
      </c>
      <c r="B233" s="12">
        <v>44062</v>
      </c>
      <c r="C233" s="11">
        <v>70.719001320000004</v>
      </c>
      <c r="D233" s="11">
        <f t="shared" si="11"/>
        <v>70.019557341868705</v>
      </c>
      <c r="E233" s="11">
        <f t="shared" si="9"/>
        <v>0.6994439781312991</v>
      </c>
      <c r="F233" s="11">
        <f t="shared" si="10"/>
        <v>0.48922187854413723</v>
      </c>
    </row>
    <row r="234" spans="1:6">
      <c r="A234" s="11">
        <v>233</v>
      </c>
      <c r="B234" s="12">
        <v>44063</v>
      </c>
      <c r="C234" s="11">
        <v>70.548173439999999</v>
      </c>
      <c r="D234" s="11">
        <f t="shared" si="11"/>
        <v>69.441142629778795</v>
      </c>
      <c r="E234" s="11">
        <f t="shared" si="9"/>
        <v>1.1070308102212039</v>
      </c>
      <c r="F234" s="11">
        <f t="shared" si="10"/>
        <v>1.225517214779015</v>
      </c>
    </row>
    <row r="235" spans="1:6">
      <c r="A235" s="11">
        <v>234</v>
      </c>
      <c r="B235" s="12">
        <v>44064</v>
      </c>
      <c r="C235" s="11">
        <v>70.043562089999995</v>
      </c>
      <c r="D235" s="11">
        <f t="shared" si="11"/>
        <v>70.401050759929603</v>
      </c>
      <c r="E235" s="11">
        <f t="shared" si="9"/>
        <v>-0.3574886699296087</v>
      </c>
      <c r="F235" s="11">
        <f t="shared" si="10"/>
        <v>0.12779814912804072</v>
      </c>
    </row>
    <row r="236" spans="1:6">
      <c r="A236" s="11">
        <v>235</v>
      </c>
      <c r="B236" s="12">
        <v>44065</v>
      </c>
      <c r="C236" s="11">
        <v>69.913260159999993</v>
      </c>
      <c r="D236" s="11">
        <f t="shared" si="11"/>
        <v>70.219096877183105</v>
      </c>
      <c r="E236" s="11">
        <f t="shared" si="9"/>
        <v>-0.30583671718311223</v>
      </c>
      <c r="F236" s="11">
        <f t="shared" si="10"/>
        <v>9.3536097577342978E-2</v>
      </c>
    </row>
    <row r="237" spans="1:6">
      <c r="A237" s="11">
        <v>236</v>
      </c>
      <c r="B237" s="12">
        <v>44066</v>
      </c>
      <c r="C237" s="11">
        <v>70.802164099999999</v>
      </c>
      <c r="D237" s="11">
        <f t="shared" si="11"/>
        <v>69.730032535494388</v>
      </c>
      <c r="E237" s="11">
        <f t="shared" si="9"/>
        <v>1.0721315645056109</v>
      </c>
      <c r="F237" s="11">
        <f t="shared" si="10"/>
        <v>1.1494660916092487</v>
      </c>
    </row>
    <row r="238" spans="1:6">
      <c r="A238" s="11">
        <v>237</v>
      </c>
      <c r="B238" s="12">
        <v>44067</v>
      </c>
      <c r="C238" s="11">
        <v>69.658999890000004</v>
      </c>
      <c r="D238" s="11">
        <f t="shared" si="11"/>
        <v>69.636578773918998</v>
      </c>
      <c r="E238" s="11">
        <f t="shared" si="9"/>
        <v>2.2421116081005721E-2</v>
      </c>
      <c r="F238" s="11">
        <f t="shared" si="10"/>
        <v>5.0270644631793336E-4</v>
      </c>
    </row>
    <row r="239" spans="1:6">
      <c r="A239" s="11">
        <v>238</v>
      </c>
      <c r="B239" s="12">
        <v>44068</v>
      </c>
      <c r="C239" s="11">
        <v>69.229081230000006</v>
      </c>
      <c r="D239" s="11">
        <f t="shared" si="11"/>
        <v>70.449241342085088</v>
      </c>
      <c r="E239" s="11">
        <f t="shared" si="9"/>
        <v>-1.2201601120850825</v>
      </c>
      <c r="F239" s="11">
        <f t="shared" si="10"/>
        <v>1.4887906991234809</v>
      </c>
    </row>
    <row r="240" spans="1:6">
      <c r="A240" s="11">
        <v>239</v>
      </c>
      <c r="B240" s="12">
        <v>44069</v>
      </c>
      <c r="C240" s="11">
        <v>70.110181920000002</v>
      </c>
      <c r="D240" s="11">
        <f t="shared" si="11"/>
        <v>69.336502895375702</v>
      </c>
      <c r="E240" s="11">
        <f t="shared" si="9"/>
        <v>0.77367902462430038</v>
      </c>
      <c r="F240" s="11">
        <f t="shared" si="10"/>
        <v>0.59857923314360884</v>
      </c>
    </row>
    <row r="241" spans="1:6">
      <c r="A241" s="11">
        <v>240</v>
      </c>
      <c r="B241" s="12">
        <v>44070</v>
      </c>
      <c r="C241" s="11">
        <v>70.608831850000001</v>
      </c>
      <c r="D241" s="11">
        <f t="shared" si="11"/>
        <v>68.955139355332804</v>
      </c>
      <c r="E241" s="11">
        <f t="shared" si="9"/>
        <v>1.6536924946671974</v>
      </c>
      <c r="F241" s="11">
        <f t="shared" si="10"/>
        <v>2.7346988669186185</v>
      </c>
    </row>
    <row r="242" spans="1:6">
      <c r="A242" s="11">
        <v>241</v>
      </c>
      <c r="B242" s="12">
        <v>44071</v>
      </c>
      <c r="C242" s="11">
        <v>70.571827299999995</v>
      </c>
      <c r="D242" s="11">
        <f t="shared" si="11"/>
        <v>69.818742968741489</v>
      </c>
      <c r="E242" s="11">
        <f t="shared" si="9"/>
        <v>0.75308433125850627</v>
      </c>
      <c r="F242" s="11">
        <f t="shared" si="10"/>
        <v>0.56713600998707159</v>
      </c>
    </row>
    <row r="243" spans="1:6">
      <c r="A243" s="11">
        <v>242</v>
      </c>
      <c r="B243" s="12">
        <v>44072</v>
      </c>
      <c r="C243" s="11">
        <v>69.790645659999996</v>
      </c>
      <c r="D243" s="11">
        <f t="shared" si="11"/>
        <v>70.296129909607004</v>
      </c>
      <c r="E243" s="11">
        <f t="shared" si="9"/>
        <v>-0.505484249607008</v>
      </c>
      <c r="F243" s="11">
        <f t="shared" si="10"/>
        <v>0.25551432660075996</v>
      </c>
    </row>
    <row r="244" spans="1:6">
      <c r="A244" s="11">
        <v>243</v>
      </c>
      <c r="B244" s="12">
        <v>44073</v>
      </c>
      <c r="C244" s="11">
        <v>70.675374989999995</v>
      </c>
      <c r="D244" s="11">
        <f t="shared" si="11"/>
        <v>70.232803287039388</v>
      </c>
      <c r="E244" s="11">
        <f t="shared" si="9"/>
        <v>0.44257170296060622</v>
      </c>
      <c r="F244" s="11">
        <f t="shared" si="10"/>
        <v>0.19586971226145106</v>
      </c>
    </row>
    <row r="245" spans="1:6">
      <c r="A245" s="11">
        <v>244</v>
      </c>
      <c r="B245" s="12">
        <v>44074</v>
      </c>
      <c r="C245" s="11">
        <v>72.601899549999999</v>
      </c>
      <c r="D245" s="11">
        <f t="shared" si="11"/>
        <v>69.514356429494086</v>
      </c>
      <c r="E245" s="11">
        <f t="shared" si="9"/>
        <v>3.087543120505913</v>
      </c>
      <c r="F245" s="11">
        <f t="shared" si="10"/>
        <v>9.5329225209833908</v>
      </c>
    </row>
    <row r="246" spans="1:6">
      <c r="A246" s="11">
        <v>245</v>
      </c>
      <c r="B246" s="12">
        <v>44075</v>
      </c>
      <c r="C246" s="11">
        <v>71.764942719999993</v>
      </c>
      <c r="D246" s="11">
        <f t="shared" si="11"/>
        <v>70.432261595384503</v>
      </c>
      <c r="E246" s="11">
        <f t="shared" si="9"/>
        <v>1.3326811246154904</v>
      </c>
      <c r="F246" s="11">
        <f t="shared" si="10"/>
        <v>1.7760389799064082</v>
      </c>
    </row>
    <row r="247" spans="1:6">
      <c r="A247" s="11">
        <v>246</v>
      </c>
      <c r="B247" s="12">
        <v>44076</v>
      </c>
      <c r="C247" s="11">
        <v>70.085219069999994</v>
      </c>
      <c r="D247" s="11">
        <f t="shared" si="11"/>
        <v>72.251937879404792</v>
      </c>
      <c r="E247" s="11">
        <f t="shared" si="9"/>
        <v>-2.1667188094047987</v>
      </c>
      <c r="F247" s="11">
        <f t="shared" si="10"/>
        <v>4.6946703990285483</v>
      </c>
    </row>
    <row r="248" spans="1:6">
      <c r="A248" s="11">
        <v>247</v>
      </c>
      <c r="B248" s="12">
        <v>44077</v>
      </c>
      <c r="C248" s="11">
        <v>70.277388909999999</v>
      </c>
      <c r="D248" s="11">
        <f t="shared" si="11"/>
        <v>71.388677957901294</v>
      </c>
      <c r="E248" s="11">
        <f t="shared" si="9"/>
        <v>-1.1112890479012947</v>
      </c>
      <c r="F248" s="11">
        <f t="shared" si="10"/>
        <v>1.2349633479853661</v>
      </c>
    </row>
    <row r="249" spans="1:6">
      <c r="A249" s="11">
        <v>248</v>
      </c>
      <c r="B249" s="12">
        <v>44078</v>
      </c>
      <c r="C249" s="11">
        <v>69.601734989999997</v>
      </c>
      <c r="D249" s="11">
        <f t="shared" si="11"/>
        <v>69.782982578506889</v>
      </c>
      <c r="E249" s="11">
        <f t="shared" si="9"/>
        <v>-0.18124758850689204</v>
      </c>
      <c r="F249" s="11">
        <f t="shared" si="10"/>
        <v>3.2850688339563665E-2</v>
      </c>
    </row>
    <row r="250" spans="1:6">
      <c r="A250" s="11">
        <v>249</v>
      </c>
      <c r="B250" s="12">
        <v>44079</v>
      </c>
      <c r="C250" s="11">
        <v>68.928133979999998</v>
      </c>
      <c r="D250" s="11">
        <f t="shared" si="11"/>
        <v>69.943419101894094</v>
      </c>
      <c r="E250" s="11">
        <f t="shared" si="9"/>
        <v>-1.0152851218940953</v>
      </c>
      <c r="F250" s="11">
        <f t="shared" si="10"/>
        <v>1.030803878739508</v>
      </c>
    </row>
    <row r="251" spans="1:6">
      <c r="A251" s="11">
        <v>250</v>
      </c>
      <c r="B251" s="12">
        <v>44080</v>
      </c>
      <c r="C251" s="11">
        <v>69.509168639999999</v>
      </c>
      <c r="D251" s="11">
        <f t="shared" si="11"/>
        <v>69.270817878748204</v>
      </c>
      <c r="E251" s="11">
        <f t="shared" si="9"/>
        <v>0.23835076125179455</v>
      </c>
      <c r="F251" s="11">
        <f t="shared" si="10"/>
        <v>5.681108538930997E-2</v>
      </c>
    </row>
    <row r="252" spans="1:6">
      <c r="A252" s="11">
        <v>251</v>
      </c>
      <c r="B252" s="12">
        <v>44081</v>
      </c>
      <c r="C252" s="11">
        <v>67.444264360000005</v>
      </c>
      <c r="D252" s="11">
        <f t="shared" si="11"/>
        <v>68.644839932697593</v>
      </c>
      <c r="E252" s="11">
        <f t="shared" si="9"/>
        <v>-1.2005755726975877</v>
      </c>
      <c r="F252" s="11">
        <f t="shared" si="10"/>
        <v>1.4413817057581408</v>
      </c>
    </row>
    <row r="253" spans="1:6">
      <c r="A253" s="11">
        <v>252</v>
      </c>
      <c r="B253" s="12">
        <v>44082</v>
      </c>
      <c r="C253" s="11">
        <v>67.459857659999997</v>
      </c>
      <c r="D253" s="11">
        <f t="shared" si="11"/>
        <v>69.129143262972391</v>
      </c>
      <c r="E253" s="11">
        <f t="shared" si="9"/>
        <v>-1.6692856029723941</v>
      </c>
      <c r="F253" s="11">
        <f t="shared" si="10"/>
        <v>2.7865144242909095</v>
      </c>
    </row>
    <row r="254" spans="1:6">
      <c r="A254" s="11">
        <v>253</v>
      </c>
      <c r="B254" s="12">
        <v>44083</v>
      </c>
      <c r="C254" s="11">
        <v>68.894673429999997</v>
      </c>
      <c r="D254" s="11">
        <f t="shared" si="11"/>
        <v>67.147390119719404</v>
      </c>
      <c r="E254" s="11">
        <f t="shared" si="9"/>
        <v>1.7472833102805936</v>
      </c>
      <c r="F254" s="11">
        <f t="shared" si="10"/>
        <v>3.0529989663851089</v>
      </c>
    </row>
    <row r="255" spans="1:6">
      <c r="A255" s="11">
        <v>254</v>
      </c>
      <c r="B255" s="12">
        <v>44084</v>
      </c>
      <c r="C255" s="11">
        <v>68.745457900000005</v>
      </c>
      <c r="D255" s="11">
        <f t="shared" si="11"/>
        <v>67.213424780973696</v>
      </c>
      <c r="E255" s="11">
        <f t="shared" si="9"/>
        <v>1.532033119026309</v>
      </c>
      <c r="F255" s="11">
        <f t="shared" si="10"/>
        <v>2.3471254777934809</v>
      </c>
    </row>
    <row r="256" spans="1:6">
      <c r="A256" s="11">
        <v>255</v>
      </c>
      <c r="B256" s="12">
        <v>44085</v>
      </c>
      <c r="C256" s="11">
        <v>68.546229609999997</v>
      </c>
      <c r="D256" s="11">
        <f t="shared" si="11"/>
        <v>68.585537339460998</v>
      </c>
      <c r="E256" s="11">
        <f t="shared" si="9"/>
        <v>-3.9307729461000918E-2</v>
      </c>
      <c r="F256" s="11">
        <f t="shared" si="10"/>
        <v>1.5450975953792394E-3</v>
      </c>
    </row>
    <row r="257" spans="1:6">
      <c r="A257" s="11">
        <v>256</v>
      </c>
      <c r="B257" s="12">
        <v>44086</v>
      </c>
      <c r="C257" s="11">
        <v>69.067352060000005</v>
      </c>
      <c r="D257" s="11">
        <f t="shared" si="11"/>
        <v>68.435199895819906</v>
      </c>
      <c r="E257" s="11">
        <f t="shared" si="9"/>
        <v>0.63215216418009845</v>
      </c>
      <c r="F257" s="11">
        <f t="shared" si="10"/>
        <v>0.39961635867758216</v>
      </c>
    </row>
    <row r="258" spans="1:6">
      <c r="A258" s="11">
        <v>257</v>
      </c>
      <c r="B258" s="12">
        <v>44087</v>
      </c>
      <c r="C258" s="11">
        <v>68.233577060000002</v>
      </c>
      <c r="D258" s="11">
        <f t="shared" si="11"/>
        <v>68.262487485415406</v>
      </c>
      <c r="E258" s="11">
        <f t="shared" si="9"/>
        <v>-2.8910425415404006E-2</v>
      </c>
      <c r="F258" s="11">
        <f t="shared" si="10"/>
        <v>8.3581269769963788E-4</v>
      </c>
    </row>
    <row r="259" spans="1:6">
      <c r="A259" s="11">
        <v>258</v>
      </c>
      <c r="B259" s="12">
        <v>44088</v>
      </c>
      <c r="C259" s="11">
        <v>68.813868819999996</v>
      </c>
      <c r="D259" s="11">
        <f t="shared" si="11"/>
        <v>68.733090985165404</v>
      </c>
      <c r="E259" s="11">
        <f t="shared" si="9"/>
        <v>8.0777834834591999E-2</v>
      </c>
      <c r="F259" s="11">
        <f t="shared" si="10"/>
        <v>6.5250586005646243E-3</v>
      </c>
    </row>
    <row r="260" spans="1:6">
      <c r="A260" s="11">
        <v>259</v>
      </c>
      <c r="B260" s="12">
        <v>44089</v>
      </c>
      <c r="C260" s="11">
        <v>69.282978009999994</v>
      </c>
      <c r="D260" s="11">
        <f t="shared" si="11"/>
        <v>67.953319568903794</v>
      </c>
      <c r="E260" s="11">
        <f t="shared" ref="E260:E323" si="12">C260-D260</f>
        <v>1.3296584410961998</v>
      </c>
      <c r="F260" s="11">
        <f t="shared" ref="F260:F323" si="13">E260^2</f>
        <v>1.7679915699783761</v>
      </c>
    </row>
    <row r="261" spans="1:6">
      <c r="A261" s="11">
        <v>260</v>
      </c>
      <c r="B261" s="12">
        <v>44090</v>
      </c>
      <c r="C261" s="11">
        <v>69.951031369999995</v>
      </c>
      <c r="D261" s="11">
        <f t="shared" ref="D261:D324" si="14">0.03559*C260+0.96*C259</f>
        <v>68.527095254575883</v>
      </c>
      <c r="E261" s="11">
        <f t="shared" si="12"/>
        <v>1.4239361154241124</v>
      </c>
      <c r="F261" s="11">
        <f t="shared" si="13"/>
        <v>2.0275940608091112</v>
      </c>
    </row>
    <row r="262" spans="1:6">
      <c r="A262" s="11">
        <v>261</v>
      </c>
      <c r="B262" s="12">
        <v>44091</v>
      </c>
      <c r="C262" s="11">
        <v>71.339909449999993</v>
      </c>
      <c r="D262" s="11">
        <f t="shared" si="14"/>
        <v>69.001216096058286</v>
      </c>
      <c r="E262" s="11">
        <f t="shared" si="12"/>
        <v>2.3386933539417072</v>
      </c>
      <c r="F262" s="11">
        <f t="shared" si="13"/>
        <v>5.4694866037711112</v>
      </c>
    </row>
    <row r="263" spans="1:6">
      <c r="A263" s="11">
        <v>262</v>
      </c>
      <c r="B263" s="12">
        <v>44092</v>
      </c>
      <c r="C263" s="11">
        <v>70.991140669999993</v>
      </c>
      <c r="D263" s="11">
        <f t="shared" si="14"/>
        <v>69.691977492525496</v>
      </c>
      <c r="E263" s="11">
        <f t="shared" si="12"/>
        <v>1.2991631774744974</v>
      </c>
      <c r="F263" s="11">
        <f t="shared" si="13"/>
        <v>1.6878249617056325</v>
      </c>
    </row>
    <row r="264" spans="1:6">
      <c r="A264" s="11">
        <v>263</v>
      </c>
      <c r="B264" s="12">
        <v>44093</v>
      </c>
      <c r="C264" s="11">
        <v>70.213773590000002</v>
      </c>
      <c r="D264" s="11">
        <f t="shared" si="14"/>
        <v>71.012887768445282</v>
      </c>
      <c r="E264" s="11">
        <f t="shared" si="12"/>
        <v>-0.79911417844527932</v>
      </c>
      <c r="F264" s="11">
        <f t="shared" si="13"/>
        <v>0.63858347019227368</v>
      </c>
    </row>
    <row r="265" spans="1:6">
      <c r="A265" s="11">
        <v>264</v>
      </c>
      <c r="B265" s="12">
        <v>44094</v>
      </c>
      <c r="C265" s="11">
        <v>69.930376409999994</v>
      </c>
      <c r="D265" s="11">
        <f t="shared" si="14"/>
        <v>70.65040324526808</v>
      </c>
      <c r="E265" s="11">
        <f t="shared" si="12"/>
        <v>-0.72002683526808653</v>
      </c>
      <c r="F265" s="11">
        <f t="shared" si="13"/>
        <v>0.51843864350617619</v>
      </c>
    </row>
    <row r="266" spans="1:6">
      <c r="A266" s="11">
        <v>265</v>
      </c>
      <c r="B266" s="12">
        <v>44095</v>
      </c>
      <c r="C266" s="11">
        <v>70.121486540000006</v>
      </c>
      <c r="D266" s="11">
        <f t="shared" si="14"/>
        <v>69.894044742831909</v>
      </c>
      <c r="E266" s="11">
        <f t="shared" si="12"/>
        <v>0.22744179716809754</v>
      </c>
      <c r="F266" s="11">
        <f t="shared" si="13"/>
        <v>5.1729771099054023E-2</v>
      </c>
    </row>
    <row r="267" spans="1:6">
      <c r="A267" s="11">
        <v>266</v>
      </c>
      <c r="B267" s="12">
        <v>44096</v>
      </c>
      <c r="C267" s="11">
        <v>69.077040350000004</v>
      </c>
      <c r="D267" s="11">
        <f t="shared" si="14"/>
        <v>69.628785059558595</v>
      </c>
      <c r="E267" s="11">
        <f t="shared" si="12"/>
        <v>-0.55174470955859078</v>
      </c>
      <c r="F267" s="11">
        <f t="shared" si="13"/>
        <v>0.30442222452589368</v>
      </c>
    </row>
    <row r="268" spans="1:6">
      <c r="A268" s="11">
        <v>267</v>
      </c>
      <c r="B268" s="12">
        <v>44097</v>
      </c>
      <c r="C268" s="11">
        <v>69.295002920000002</v>
      </c>
      <c r="D268" s="11">
        <f t="shared" si="14"/>
        <v>69.77507894445651</v>
      </c>
      <c r="E268" s="11">
        <f t="shared" si="12"/>
        <v>-0.48007602445650832</v>
      </c>
      <c r="F268" s="11">
        <f t="shared" si="13"/>
        <v>0.23047298925796597</v>
      </c>
    </row>
    <row r="269" spans="1:6">
      <c r="A269" s="11">
        <v>268</v>
      </c>
      <c r="B269" s="12">
        <v>44098</v>
      </c>
      <c r="C269" s="11">
        <v>70.162640890000006</v>
      </c>
      <c r="D269" s="11">
        <f t="shared" si="14"/>
        <v>68.780167889922808</v>
      </c>
      <c r="E269" s="11">
        <f t="shared" si="12"/>
        <v>1.3824730000771979</v>
      </c>
      <c r="F269" s="11">
        <f t="shared" si="13"/>
        <v>1.911231595942448</v>
      </c>
    </row>
    <row r="270" spans="1:6">
      <c r="A270" s="11">
        <v>269</v>
      </c>
      <c r="B270" s="12">
        <v>44099</v>
      </c>
      <c r="C270" s="11">
        <v>68.938323670000003</v>
      </c>
      <c r="D270" s="11">
        <f t="shared" si="14"/>
        <v>69.020291192475099</v>
      </c>
      <c r="E270" s="11">
        <f t="shared" si="12"/>
        <v>-8.1967522475096644E-2</v>
      </c>
      <c r="F270" s="11">
        <f t="shared" si="13"/>
        <v>6.7186747407054735E-3</v>
      </c>
    </row>
    <row r="271" spans="1:6">
      <c r="A271" s="11">
        <v>270</v>
      </c>
      <c r="B271" s="12">
        <v>44100</v>
      </c>
      <c r="C271" s="11">
        <v>70.179854860000006</v>
      </c>
      <c r="D271" s="11">
        <f t="shared" si="14"/>
        <v>69.809650193815301</v>
      </c>
      <c r="E271" s="11">
        <f t="shared" si="12"/>
        <v>0.37020466618470493</v>
      </c>
      <c r="F271" s="11">
        <f t="shared" si="13"/>
        <v>0.13705149486492882</v>
      </c>
    </row>
    <row r="272" spans="1:6">
      <c r="A272" s="11">
        <v>271</v>
      </c>
      <c r="B272" s="12">
        <v>44101</v>
      </c>
      <c r="C272" s="11">
        <v>71.507791850000004</v>
      </c>
      <c r="D272" s="11">
        <f t="shared" si="14"/>
        <v>68.678491757667402</v>
      </c>
      <c r="E272" s="11">
        <f t="shared" si="12"/>
        <v>2.8293000923326019</v>
      </c>
      <c r="F272" s="11">
        <f t="shared" si="13"/>
        <v>8.0049390124732707</v>
      </c>
    </row>
    <row r="273" spans="1:6">
      <c r="A273" s="11">
        <v>272</v>
      </c>
      <c r="B273" s="12">
        <v>44102</v>
      </c>
      <c r="C273" s="11">
        <v>70.219342659999995</v>
      </c>
      <c r="D273" s="11">
        <f t="shared" si="14"/>
        <v>69.917622977541512</v>
      </c>
      <c r="E273" s="11">
        <f t="shared" si="12"/>
        <v>0.30171968245848291</v>
      </c>
      <c r="F273" s="11">
        <f t="shared" si="13"/>
        <v>9.1034766782847762E-2</v>
      </c>
    </row>
    <row r="274" spans="1:6">
      <c r="A274" s="11">
        <v>273</v>
      </c>
      <c r="B274" s="12">
        <v>44103</v>
      </c>
      <c r="C274" s="11">
        <v>69.437930249999994</v>
      </c>
      <c r="D274" s="11">
        <f t="shared" si="14"/>
        <v>71.146586581269403</v>
      </c>
      <c r="E274" s="11">
        <f t="shared" si="12"/>
        <v>-1.7086563312694096</v>
      </c>
      <c r="F274" s="11">
        <f t="shared" si="13"/>
        <v>2.9195064583870387</v>
      </c>
    </row>
    <row r="275" spans="1:6">
      <c r="A275" s="11">
        <v>274</v>
      </c>
      <c r="B275" s="12">
        <v>44104</v>
      </c>
      <c r="C275" s="11">
        <v>68.718765009999998</v>
      </c>
      <c r="D275" s="11">
        <f t="shared" si="14"/>
        <v>69.881864891197495</v>
      </c>
      <c r="E275" s="11">
        <f t="shared" si="12"/>
        <v>-1.1630998811974962</v>
      </c>
      <c r="F275" s="11">
        <f t="shared" si="13"/>
        <v>1.3528013336416298</v>
      </c>
    </row>
    <row r="276" spans="1:6">
      <c r="A276" s="11">
        <v>275</v>
      </c>
      <c r="B276" s="12">
        <v>44105</v>
      </c>
      <c r="C276" s="11">
        <v>70.099260409999999</v>
      </c>
      <c r="D276" s="11">
        <f t="shared" si="14"/>
        <v>69.106113886705899</v>
      </c>
      <c r="E276" s="11">
        <f t="shared" si="12"/>
        <v>0.9931465232941008</v>
      </c>
      <c r="F276" s="11">
        <f t="shared" si="13"/>
        <v>0.9863400167311599</v>
      </c>
    </row>
    <row r="277" spans="1:6">
      <c r="A277" s="11">
        <v>276</v>
      </c>
      <c r="B277" s="12">
        <v>44106</v>
      </c>
      <c r="C277" s="11">
        <v>69.382704459999999</v>
      </c>
      <c r="D277" s="11">
        <f t="shared" si="14"/>
        <v>68.464847087591892</v>
      </c>
      <c r="E277" s="11">
        <f t="shared" si="12"/>
        <v>0.91785737240810761</v>
      </c>
      <c r="F277" s="11">
        <f t="shared" si="13"/>
        <v>0.8424621560839155</v>
      </c>
    </row>
    <row r="278" spans="1:6">
      <c r="A278" s="11">
        <v>277</v>
      </c>
      <c r="B278" s="12">
        <v>44107</v>
      </c>
      <c r="C278" s="11">
        <v>69.377367539999995</v>
      </c>
      <c r="D278" s="11">
        <f t="shared" si="14"/>
        <v>69.764620445331389</v>
      </c>
      <c r="E278" s="11">
        <f t="shared" si="12"/>
        <v>-0.387252905331394</v>
      </c>
      <c r="F278" s="11">
        <f t="shared" si="13"/>
        <v>0.14996481268760561</v>
      </c>
    </row>
    <row r="279" spans="1:6">
      <c r="A279" s="11">
        <v>278</v>
      </c>
      <c r="B279" s="12">
        <v>44108</v>
      </c>
      <c r="C279" s="11">
        <v>68.952689280000001</v>
      </c>
      <c r="D279" s="11">
        <f t="shared" si="14"/>
        <v>69.076536792348605</v>
      </c>
      <c r="E279" s="11">
        <f t="shared" si="12"/>
        <v>-0.12384751234860403</v>
      </c>
      <c r="F279" s="11">
        <f t="shared" si="13"/>
        <v>1.5338206314937626E-2</v>
      </c>
    </row>
    <row r="280" spans="1:6">
      <c r="A280" s="11">
        <v>279</v>
      </c>
      <c r="B280" s="12">
        <v>44109</v>
      </c>
      <c r="C280" s="11">
        <v>69.609357579999994</v>
      </c>
      <c r="D280" s="11">
        <f t="shared" si="14"/>
        <v>69.056299049875193</v>
      </c>
      <c r="E280" s="11">
        <f t="shared" si="12"/>
        <v>0.553058530124801</v>
      </c>
      <c r="F280" s="11">
        <f t="shared" si="13"/>
        <v>0.30587373774380539</v>
      </c>
    </row>
    <row r="281" spans="1:6">
      <c r="A281" s="11">
        <v>280</v>
      </c>
      <c r="B281" s="12">
        <v>44110</v>
      </c>
      <c r="C281" s="11">
        <v>68.285578490000006</v>
      </c>
      <c r="D281" s="11">
        <f t="shared" si="14"/>
        <v>68.671978745072195</v>
      </c>
      <c r="E281" s="11">
        <f t="shared" si="12"/>
        <v>-0.38640025507218922</v>
      </c>
      <c r="F281" s="11">
        <f t="shared" si="13"/>
        <v>0.1493051571198529</v>
      </c>
    </row>
    <row r="282" spans="1:6">
      <c r="A282" s="11">
        <v>281</v>
      </c>
      <c r="B282" s="12">
        <v>44111</v>
      </c>
      <c r="C282" s="11">
        <v>70.415001459999999</v>
      </c>
      <c r="D282" s="11">
        <f t="shared" si="14"/>
        <v>69.255267015259093</v>
      </c>
      <c r="E282" s="11">
        <f t="shared" si="12"/>
        <v>1.1597344447409057</v>
      </c>
      <c r="F282" s="11">
        <f t="shared" si="13"/>
        <v>1.3449839823184968</v>
      </c>
    </row>
    <row r="283" spans="1:6">
      <c r="A283" s="11">
        <v>282</v>
      </c>
      <c r="B283" s="12">
        <v>44112</v>
      </c>
      <c r="C283" s="11">
        <v>69.79872091</v>
      </c>
      <c r="D283" s="11">
        <f t="shared" si="14"/>
        <v>68.060225252361406</v>
      </c>
      <c r="E283" s="11">
        <f t="shared" si="12"/>
        <v>1.7384956576385946</v>
      </c>
      <c r="F283" s="11">
        <f t="shared" si="13"/>
        <v>3.0223671516282495</v>
      </c>
    </row>
    <row r="284" spans="1:6">
      <c r="A284" s="11">
        <v>283</v>
      </c>
      <c r="B284" s="12">
        <v>44113</v>
      </c>
      <c r="C284" s="11">
        <v>69.814626790000005</v>
      </c>
      <c r="D284" s="11">
        <f t="shared" si="14"/>
        <v>70.082537878786894</v>
      </c>
      <c r="E284" s="11">
        <f t="shared" si="12"/>
        <v>-0.26791108878688874</v>
      </c>
      <c r="F284" s="11">
        <f t="shared" si="13"/>
        <v>7.1776351494976187E-2</v>
      </c>
    </row>
    <row r="285" spans="1:6">
      <c r="A285" s="11">
        <v>284</v>
      </c>
      <c r="B285" s="12">
        <v>44114</v>
      </c>
      <c r="C285" s="11">
        <v>69.736636759999996</v>
      </c>
      <c r="D285" s="11">
        <f t="shared" si="14"/>
        <v>69.491474641056101</v>
      </c>
      <c r="E285" s="11">
        <f t="shared" si="12"/>
        <v>0.24516211894389528</v>
      </c>
      <c r="F285" s="11">
        <f t="shared" si="13"/>
        <v>6.0104464565060654E-2</v>
      </c>
    </row>
    <row r="286" spans="1:6">
      <c r="A286" s="11">
        <v>285</v>
      </c>
      <c r="B286" s="12">
        <v>44115</v>
      </c>
      <c r="C286" s="11">
        <v>69.135479509999996</v>
      </c>
      <c r="D286" s="11">
        <f t="shared" si="14"/>
        <v>69.503968620688397</v>
      </c>
      <c r="E286" s="11">
        <f t="shared" si="12"/>
        <v>-0.36848911068840096</v>
      </c>
      <c r="F286" s="11">
        <f t="shared" si="13"/>
        <v>0.1357842246959286</v>
      </c>
    </row>
    <row r="287" spans="1:6">
      <c r="A287" s="11">
        <v>286</v>
      </c>
      <c r="B287" s="12">
        <v>44116</v>
      </c>
      <c r="C287" s="11">
        <v>68.672516540000004</v>
      </c>
      <c r="D287" s="11">
        <f t="shared" si="14"/>
        <v>69.407703005360887</v>
      </c>
      <c r="E287" s="11">
        <f t="shared" si="12"/>
        <v>-0.73518646536088283</v>
      </c>
      <c r="F287" s="11">
        <f t="shared" si="13"/>
        <v>0.54049913884982859</v>
      </c>
    </row>
    <row r="288" spans="1:6">
      <c r="A288" s="11">
        <v>287</v>
      </c>
      <c r="B288" s="12">
        <v>44117</v>
      </c>
      <c r="C288" s="11">
        <v>70.399264619999997</v>
      </c>
      <c r="D288" s="11">
        <f t="shared" si="14"/>
        <v>68.814115193258587</v>
      </c>
      <c r="E288" s="11">
        <f t="shared" si="12"/>
        <v>1.5851494267414097</v>
      </c>
      <c r="F288" s="11">
        <f t="shared" si="13"/>
        <v>2.5126987050986198</v>
      </c>
    </row>
    <row r="289" spans="1:6">
      <c r="A289" s="11">
        <v>288</v>
      </c>
      <c r="B289" s="12">
        <v>44118</v>
      </c>
      <c r="C289" s="11">
        <v>70.112163210000006</v>
      </c>
      <c r="D289" s="11">
        <f t="shared" si="14"/>
        <v>68.431125706225799</v>
      </c>
      <c r="E289" s="11">
        <f t="shared" si="12"/>
        <v>1.6810375037742062</v>
      </c>
      <c r="F289" s="11">
        <f t="shared" si="13"/>
        <v>2.8258870890954144</v>
      </c>
    </row>
    <row r="290" spans="1:6">
      <c r="A290" s="11">
        <v>289</v>
      </c>
      <c r="B290" s="12">
        <v>44119</v>
      </c>
      <c r="C290" s="11">
        <v>70.218688729999997</v>
      </c>
      <c r="D290" s="11">
        <f t="shared" si="14"/>
        <v>70.078585923843903</v>
      </c>
      <c r="E290" s="11">
        <f t="shared" si="12"/>
        <v>0.14010280615609361</v>
      </c>
      <c r="F290" s="11">
        <f t="shared" si="13"/>
        <v>1.9628796292811942E-2</v>
      </c>
    </row>
    <row r="291" spans="1:6">
      <c r="A291" s="11">
        <v>290</v>
      </c>
      <c r="B291" s="12">
        <v>44120</v>
      </c>
      <c r="C291" s="11">
        <v>69.296067390000005</v>
      </c>
      <c r="D291" s="11">
        <f t="shared" si="14"/>
        <v>69.806759813500705</v>
      </c>
      <c r="E291" s="11">
        <f t="shared" si="12"/>
        <v>-0.51069242350069999</v>
      </c>
      <c r="F291" s="11">
        <f t="shared" si="13"/>
        <v>0.26080675142101833</v>
      </c>
    </row>
    <row r="292" spans="1:6">
      <c r="A292" s="11">
        <v>291</v>
      </c>
      <c r="B292" s="12">
        <v>44121</v>
      </c>
      <c r="C292" s="11">
        <v>68.864852380000002</v>
      </c>
      <c r="D292" s="11">
        <f t="shared" si="14"/>
        <v>69.876188219210093</v>
      </c>
      <c r="E292" s="11">
        <f t="shared" si="12"/>
        <v>-1.0113358392100906</v>
      </c>
      <c r="F292" s="11">
        <f t="shared" si="13"/>
        <v>1.0228001796707782</v>
      </c>
    </row>
    <row r="293" spans="1:6">
      <c r="A293" s="11">
        <v>292</v>
      </c>
      <c r="B293" s="12">
        <v>44122</v>
      </c>
      <c r="C293" s="11">
        <v>70.002338359999996</v>
      </c>
      <c r="D293" s="11">
        <f t="shared" si="14"/>
        <v>68.975124790604198</v>
      </c>
      <c r="E293" s="11">
        <f t="shared" si="12"/>
        <v>1.0272135693957978</v>
      </c>
      <c r="F293" s="11">
        <f t="shared" si="13"/>
        <v>1.0551677171508556</v>
      </c>
    </row>
    <row r="294" spans="1:6">
      <c r="A294" s="11">
        <v>293</v>
      </c>
      <c r="B294" s="12">
        <v>44123</v>
      </c>
      <c r="C294" s="11">
        <v>71.2723558</v>
      </c>
      <c r="D294" s="11">
        <f t="shared" si="14"/>
        <v>68.601641507032397</v>
      </c>
      <c r="E294" s="11">
        <f t="shared" si="12"/>
        <v>2.6707142929676024</v>
      </c>
      <c r="F294" s="11">
        <f t="shared" si="13"/>
        <v>7.1327148346614404</v>
      </c>
    </row>
    <row r="295" spans="1:6">
      <c r="A295" s="11">
        <v>294</v>
      </c>
      <c r="B295" s="12">
        <v>44124</v>
      </c>
      <c r="C295" s="11">
        <v>70.587395569999998</v>
      </c>
      <c r="D295" s="11">
        <f t="shared" si="14"/>
        <v>69.738827968521989</v>
      </c>
      <c r="E295" s="11">
        <f t="shared" si="12"/>
        <v>0.84856760147800969</v>
      </c>
      <c r="F295" s="11">
        <f t="shared" si="13"/>
        <v>0.72006697427814226</v>
      </c>
    </row>
    <row r="296" spans="1:6">
      <c r="A296" s="11">
        <v>295</v>
      </c>
      <c r="B296" s="12">
        <v>44125</v>
      </c>
      <c r="C296" s="11">
        <v>68.54881073</v>
      </c>
      <c r="D296" s="11">
        <f t="shared" si="14"/>
        <v>70.933666976336298</v>
      </c>
      <c r="E296" s="11">
        <f t="shared" si="12"/>
        <v>-2.3848562463362981</v>
      </c>
      <c r="F296" s="11">
        <f t="shared" si="13"/>
        <v>5.687539315689258</v>
      </c>
    </row>
    <row r="297" spans="1:6">
      <c r="A297" s="11">
        <v>296</v>
      </c>
      <c r="B297" s="12">
        <v>44126</v>
      </c>
      <c r="C297" s="11">
        <v>70.951023849999999</v>
      </c>
      <c r="D297" s="11">
        <f t="shared" si="14"/>
        <v>70.203551921080702</v>
      </c>
      <c r="E297" s="11">
        <f t="shared" si="12"/>
        <v>0.74747192891929615</v>
      </c>
      <c r="F297" s="11">
        <f t="shared" si="13"/>
        <v>0.55871428452233329</v>
      </c>
    </row>
    <row r="298" spans="1:6">
      <c r="A298" s="11">
        <v>297</v>
      </c>
      <c r="B298" s="12">
        <v>44127</v>
      </c>
      <c r="C298" s="11">
        <v>70.149421779999997</v>
      </c>
      <c r="D298" s="11">
        <f t="shared" si="14"/>
        <v>68.332005239621495</v>
      </c>
      <c r="E298" s="11">
        <f t="shared" si="12"/>
        <v>1.8174165403785025</v>
      </c>
      <c r="F298" s="11">
        <f t="shared" si="13"/>
        <v>3.303002881241365</v>
      </c>
    </row>
    <row r="299" spans="1:6">
      <c r="A299" s="11">
        <v>298</v>
      </c>
      <c r="B299" s="12">
        <v>44128</v>
      </c>
      <c r="C299" s="11">
        <v>68.262758509999998</v>
      </c>
      <c r="D299" s="11">
        <f t="shared" si="14"/>
        <v>70.609600817150195</v>
      </c>
      <c r="E299" s="11">
        <f t="shared" si="12"/>
        <v>-2.3468423071501974</v>
      </c>
      <c r="F299" s="11">
        <f t="shared" si="13"/>
        <v>5.507668814630061</v>
      </c>
    </row>
    <row r="300" spans="1:6">
      <c r="A300" s="11">
        <v>299</v>
      </c>
      <c r="B300" s="12">
        <v>44129</v>
      </c>
      <c r="C300" s="11">
        <v>71.507253160000005</v>
      </c>
      <c r="D300" s="11">
        <f t="shared" si="14"/>
        <v>69.772916484170892</v>
      </c>
      <c r="E300" s="11">
        <f t="shared" si="12"/>
        <v>1.7343366758291126</v>
      </c>
      <c r="F300" s="11">
        <f t="shared" si="13"/>
        <v>3.0079237051259762</v>
      </c>
    </row>
    <row r="301" spans="1:6">
      <c r="A301" s="11">
        <v>300</v>
      </c>
      <c r="B301" s="12">
        <v>44130</v>
      </c>
      <c r="C301" s="11">
        <v>71.021492050000006</v>
      </c>
      <c r="D301" s="11">
        <f t="shared" si="14"/>
        <v>68.077191309564398</v>
      </c>
      <c r="E301" s="11">
        <f t="shared" si="12"/>
        <v>2.9443007404356081</v>
      </c>
      <c r="F301" s="11">
        <f t="shared" si="13"/>
        <v>8.6689068501296696</v>
      </c>
    </row>
    <row r="302" spans="1:6">
      <c r="A302" s="11">
        <v>301</v>
      </c>
      <c r="B302" s="12">
        <v>44131</v>
      </c>
      <c r="C302" s="11">
        <v>68.698986590000004</v>
      </c>
      <c r="D302" s="11">
        <f t="shared" si="14"/>
        <v>71.174617935659498</v>
      </c>
      <c r="E302" s="11">
        <f t="shared" si="12"/>
        <v>-2.4756313456594938</v>
      </c>
      <c r="F302" s="11">
        <f t="shared" si="13"/>
        <v>6.1287505596118361</v>
      </c>
    </row>
    <row r="303" spans="1:6">
      <c r="A303" s="11">
        <v>302</v>
      </c>
      <c r="B303" s="12">
        <v>44132</v>
      </c>
      <c r="C303" s="11">
        <v>68.229504570000003</v>
      </c>
      <c r="D303" s="11">
        <f t="shared" si="14"/>
        <v>70.625629300738098</v>
      </c>
      <c r="E303" s="11">
        <f t="shared" si="12"/>
        <v>-2.3961247307380944</v>
      </c>
      <c r="F303" s="11">
        <f t="shared" si="13"/>
        <v>5.7414137252547057</v>
      </c>
    </row>
    <row r="304" spans="1:6">
      <c r="A304" s="11">
        <v>303</v>
      </c>
      <c r="B304" s="12">
        <v>44133</v>
      </c>
      <c r="C304" s="11">
        <v>69.695551660000007</v>
      </c>
      <c r="D304" s="11">
        <f t="shared" si="14"/>
        <v>68.379315194046313</v>
      </c>
      <c r="E304" s="11">
        <f t="shared" si="12"/>
        <v>1.3162364659536934</v>
      </c>
      <c r="F304" s="11">
        <f t="shared" si="13"/>
        <v>1.7324784343062682</v>
      </c>
    </row>
    <row r="305" spans="1:6">
      <c r="A305" s="11">
        <v>304</v>
      </c>
      <c r="B305" s="12">
        <v>44134</v>
      </c>
      <c r="C305" s="11">
        <v>70.538791180000004</v>
      </c>
      <c r="D305" s="11">
        <f t="shared" si="14"/>
        <v>67.980789070779394</v>
      </c>
      <c r="E305" s="11">
        <f t="shared" si="12"/>
        <v>2.5580021092206096</v>
      </c>
      <c r="F305" s="11">
        <f t="shared" si="13"/>
        <v>6.5433747907770874</v>
      </c>
    </row>
    <row r="306" spans="1:6">
      <c r="A306" s="11">
        <v>305</v>
      </c>
      <c r="B306" s="12">
        <v>44135</v>
      </c>
      <c r="C306" s="11">
        <v>69.562880010000001</v>
      </c>
      <c r="D306" s="11">
        <f t="shared" si="14"/>
        <v>69.418205171696215</v>
      </c>
      <c r="E306" s="11">
        <f t="shared" si="12"/>
        <v>0.14467483830378569</v>
      </c>
      <c r="F306" s="11">
        <f t="shared" si="13"/>
        <v>2.0930808838226535E-2</v>
      </c>
    </row>
    <row r="307" spans="1:6">
      <c r="A307" s="11">
        <v>306</v>
      </c>
      <c r="B307" s="12">
        <v>44136</v>
      </c>
      <c r="C307" s="11">
        <v>71.398814250000001</v>
      </c>
      <c r="D307" s="11">
        <f t="shared" si="14"/>
        <v>70.192982432355905</v>
      </c>
      <c r="E307" s="11">
        <f t="shared" si="12"/>
        <v>1.2058318176440963</v>
      </c>
      <c r="F307" s="11">
        <f t="shared" si="13"/>
        <v>1.4540303724428651</v>
      </c>
    </row>
    <row r="308" spans="1:6">
      <c r="A308" s="11">
        <v>307</v>
      </c>
      <c r="B308" s="12">
        <v>44137</v>
      </c>
      <c r="C308" s="11">
        <v>70.448844870000002</v>
      </c>
      <c r="D308" s="11">
        <f t="shared" si="14"/>
        <v>69.321448608757507</v>
      </c>
      <c r="E308" s="11">
        <f t="shared" si="12"/>
        <v>1.1273962612424953</v>
      </c>
      <c r="F308" s="11">
        <f t="shared" si="13"/>
        <v>1.2710223298635566</v>
      </c>
    </row>
    <row r="309" spans="1:6">
      <c r="A309" s="11">
        <v>308</v>
      </c>
      <c r="B309" s="12">
        <v>44138</v>
      </c>
      <c r="C309" s="11">
        <v>68.664976060000001</v>
      </c>
      <c r="D309" s="11">
        <f t="shared" si="14"/>
        <v>71.050136068923308</v>
      </c>
      <c r="E309" s="11">
        <f t="shared" si="12"/>
        <v>-2.3851600089233074</v>
      </c>
      <c r="F309" s="11">
        <f t="shared" si="13"/>
        <v>5.6889882681670318</v>
      </c>
    </row>
    <row r="310" spans="1:6">
      <c r="A310" s="11">
        <v>309</v>
      </c>
      <c r="B310" s="12">
        <v>44139</v>
      </c>
      <c r="C310" s="11">
        <v>70.025025569999997</v>
      </c>
      <c r="D310" s="11">
        <f t="shared" si="14"/>
        <v>70.074677573175393</v>
      </c>
      <c r="E310" s="11">
        <f t="shared" si="12"/>
        <v>-4.9652003175395976E-2</v>
      </c>
      <c r="F310" s="11">
        <f t="shared" si="13"/>
        <v>2.465321419329532E-3</v>
      </c>
    </row>
    <row r="311" spans="1:6">
      <c r="A311" s="11">
        <v>310</v>
      </c>
      <c r="B311" s="12">
        <v>44140</v>
      </c>
      <c r="C311" s="11">
        <v>71.744585369999996</v>
      </c>
      <c r="D311" s="11">
        <f t="shared" si="14"/>
        <v>68.410567677636294</v>
      </c>
      <c r="E311" s="11">
        <f t="shared" si="12"/>
        <v>3.3340176923637017</v>
      </c>
      <c r="F311" s="11">
        <f t="shared" si="13"/>
        <v>11.115673972994182</v>
      </c>
    </row>
    <row r="312" spans="1:6">
      <c r="A312" s="11">
        <v>311</v>
      </c>
      <c r="B312" s="12">
        <v>44141</v>
      </c>
      <c r="C312" s="11">
        <v>70.221750450000002</v>
      </c>
      <c r="D312" s="11">
        <f t="shared" si="14"/>
        <v>69.777414340518291</v>
      </c>
      <c r="E312" s="11">
        <f t="shared" si="12"/>
        <v>0.44433610948171065</v>
      </c>
      <c r="F312" s="11">
        <f t="shared" si="13"/>
        <v>0.19743457818934276</v>
      </c>
    </row>
    <row r="313" spans="1:6">
      <c r="A313" s="11">
        <v>312</v>
      </c>
      <c r="B313" s="12">
        <v>44142</v>
      </c>
      <c r="C313" s="11">
        <v>68.208327370000006</v>
      </c>
      <c r="D313" s="11">
        <f t="shared" si="14"/>
        <v>71.373994053715492</v>
      </c>
      <c r="E313" s="11">
        <f t="shared" si="12"/>
        <v>-3.1656666837154859</v>
      </c>
      <c r="F313" s="11">
        <f t="shared" si="13"/>
        <v>10.021445552386202</v>
      </c>
    </row>
    <row r="314" spans="1:6">
      <c r="A314" s="11">
        <v>313</v>
      </c>
      <c r="B314" s="12">
        <v>44143</v>
      </c>
      <c r="C314" s="11">
        <v>69.888909549999994</v>
      </c>
      <c r="D314" s="11">
        <f t="shared" si="14"/>
        <v>69.840414803098298</v>
      </c>
      <c r="E314" s="11">
        <f t="shared" si="12"/>
        <v>4.8494746901695862E-2</v>
      </c>
      <c r="F314" s="11">
        <f t="shared" si="13"/>
        <v>2.3517404770595405E-3</v>
      </c>
    </row>
    <row r="315" spans="1:6">
      <c r="A315" s="11">
        <v>314</v>
      </c>
      <c r="B315" s="12">
        <v>44144</v>
      </c>
      <c r="C315" s="11">
        <v>68.42352391</v>
      </c>
      <c r="D315" s="11">
        <f t="shared" si="14"/>
        <v>67.967340566084502</v>
      </c>
      <c r="E315" s="11">
        <f t="shared" si="12"/>
        <v>0.45618334391549809</v>
      </c>
      <c r="F315" s="11">
        <f t="shared" si="13"/>
        <v>0.20810324326592561</v>
      </c>
    </row>
    <row r="316" spans="1:6">
      <c r="A316" s="11">
        <v>315</v>
      </c>
      <c r="B316" s="12">
        <v>44145</v>
      </c>
      <c r="C316" s="11">
        <v>67.860819820000003</v>
      </c>
      <c r="D316" s="11">
        <f t="shared" si="14"/>
        <v>69.528546383956893</v>
      </c>
      <c r="E316" s="11">
        <f t="shared" si="12"/>
        <v>-1.6677265639568901</v>
      </c>
      <c r="F316" s="11">
        <f t="shared" si="13"/>
        <v>2.7813118921274551</v>
      </c>
    </row>
    <row r="317" spans="1:6">
      <c r="A317" s="11">
        <v>316</v>
      </c>
      <c r="B317" s="12">
        <v>44146</v>
      </c>
      <c r="C317" s="11">
        <v>70.156880869999995</v>
      </c>
      <c r="D317" s="11">
        <f t="shared" si="14"/>
        <v>68.1017495309938</v>
      </c>
      <c r="E317" s="11">
        <f t="shared" si="12"/>
        <v>2.0551313390061949</v>
      </c>
      <c r="F317" s="11">
        <f t="shared" si="13"/>
        <v>4.2235648205653957</v>
      </c>
    </row>
    <row r="318" spans="1:6">
      <c r="A318" s="11">
        <v>317</v>
      </c>
      <c r="B318" s="12">
        <v>44147</v>
      </c>
      <c r="C318" s="11">
        <v>70.68053003</v>
      </c>
      <c r="D318" s="11">
        <f t="shared" si="14"/>
        <v>67.643270417363311</v>
      </c>
      <c r="E318" s="11">
        <f t="shared" si="12"/>
        <v>3.0372596126366886</v>
      </c>
      <c r="F318" s="11">
        <f t="shared" si="13"/>
        <v>9.2249459545539683</v>
      </c>
    </row>
    <row r="319" spans="1:6">
      <c r="A319" s="11">
        <v>318</v>
      </c>
      <c r="B319" s="12">
        <v>44148</v>
      </c>
      <c r="C319" s="11">
        <v>70.097316410000005</v>
      </c>
      <c r="D319" s="11">
        <f t="shared" si="14"/>
        <v>69.866125698967693</v>
      </c>
      <c r="E319" s="11">
        <f t="shared" si="12"/>
        <v>0.23119071103231192</v>
      </c>
      <c r="F319" s="11">
        <f t="shared" si="13"/>
        <v>5.3449144867625954E-2</v>
      </c>
    </row>
    <row r="320" spans="1:6">
      <c r="A320" s="11">
        <v>319</v>
      </c>
      <c r="B320" s="12">
        <v>44149</v>
      </c>
      <c r="C320" s="11">
        <v>70.207047439999997</v>
      </c>
      <c r="D320" s="11">
        <f t="shared" si="14"/>
        <v>70.3480723198319</v>
      </c>
      <c r="E320" s="11">
        <f t="shared" si="12"/>
        <v>-0.14102487983190315</v>
      </c>
      <c r="F320" s="11">
        <f t="shared" si="13"/>
        <v>1.9888016731602724E-2</v>
      </c>
    </row>
    <row r="321" spans="1:6">
      <c r="A321" s="11">
        <v>320</v>
      </c>
      <c r="B321" s="12">
        <v>44150</v>
      </c>
      <c r="C321" s="11">
        <v>69.942259120000003</v>
      </c>
      <c r="D321" s="11">
        <f t="shared" si="14"/>
        <v>69.792092571989599</v>
      </c>
      <c r="E321" s="11">
        <f t="shared" si="12"/>
        <v>0.15016654801040374</v>
      </c>
      <c r="F321" s="11">
        <f t="shared" si="13"/>
        <v>2.2549992141360893E-2</v>
      </c>
    </row>
    <row r="322" spans="1:6">
      <c r="A322" s="11">
        <v>321</v>
      </c>
      <c r="B322" s="12">
        <v>44151</v>
      </c>
      <c r="C322" s="11">
        <v>68.604554519999994</v>
      </c>
      <c r="D322" s="11">
        <f t="shared" si="14"/>
        <v>69.888010544480807</v>
      </c>
      <c r="E322" s="11">
        <f t="shared" si="12"/>
        <v>-1.2834560244808131</v>
      </c>
      <c r="F322" s="11">
        <f t="shared" si="13"/>
        <v>1.6472593667760935</v>
      </c>
    </row>
    <row r="323" spans="1:6">
      <c r="A323" s="11">
        <v>322</v>
      </c>
      <c r="B323" s="12">
        <v>44152</v>
      </c>
      <c r="C323" s="11">
        <v>70.45613032</v>
      </c>
      <c r="D323" s="11">
        <f t="shared" si="14"/>
        <v>69.586204850566801</v>
      </c>
      <c r="E323" s="11">
        <f t="shared" si="12"/>
        <v>0.86992546943319837</v>
      </c>
      <c r="F323" s="11">
        <f t="shared" si="13"/>
        <v>0.75677032236857056</v>
      </c>
    </row>
    <row r="324" spans="1:6">
      <c r="A324" s="11">
        <v>323</v>
      </c>
      <c r="B324" s="12">
        <v>44153</v>
      </c>
      <c r="C324" s="11">
        <v>72.017325889999995</v>
      </c>
      <c r="D324" s="11">
        <f t="shared" si="14"/>
        <v>68.367906017288803</v>
      </c>
      <c r="E324" s="11">
        <f t="shared" ref="E324:E387" si="15">C324-D324</f>
        <v>3.6494198727111922</v>
      </c>
      <c r="F324" s="11">
        <f t="shared" ref="F324:F387" si="16">E324^2</f>
        <v>13.318265407339375</v>
      </c>
    </row>
    <row r="325" spans="1:6">
      <c r="A325" s="11">
        <v>324</v>
      </c>
      <c r="B325" s="12">
        <v>44154</v>
      </c>
      <c r="C325" s="11">
        <v>71.278889000000007</v>
      </c>
      <c r="D325" s="11">
        <f t="shared" ref="D325:D388" si="17">0.03559*C324+0.96*C323</f>
        <v>70.200981735625092</v>
      </c>
      <c r="E325" s="11">
        <f t="shared" si="15"/>
        <v>1.0779072643749146</v>
      </c>
      <c r="F325" s="11">
        <f t="shared" si="16"/>
        <v>1.161884070592212</v>
      </c>
    </row>
    <row r="326" spans="1:6">
      <c r="A326" s="11">
        <v>325</v>
      </c>
      <c r="B326" s="12">
        <v>44155</v>
      </c>
      <c r="C326" s="11">
        <v>70.207269650000001</v>
      </c>
      <c r="D326" s="11">
        <f t="shared" si="17"/>
        <v>71.673448513909989</v>
      </c>
      <c r="E326" s="11">
        <f t="shared" si="15"/>
        <v>-1.4661788639099882</v>
      </c>
      <c r="F326" s="11">
        <f t="shared" si="16"/>
        <v>2.1496804609763838</v>
      </c>
    </row>
    <row r="327" spans="1:6">
      <c r="A327" s="11">
        <v>326</v>
      </c>
      <c r="B327" s="12">
        <v>44156</v>
      </c>
      <c r="C327" s="11">
        <v>72.080319900000006</v>
      </c>
      <c r="D327" s="11">
        <f t="shared" si="17"/>
        <v>70.926410166843496</v>
      </c>
      <c r="E327" s="11">
        <f t="shared" si="15"/>
        <v>1.1539097331565102</v>
      </c>
      <c r="F327" s="11">
        <f t="shared" si="16"/>
        <v>1.3315076722733288</v>
      </c>
    </row>
    <row r="328" spans="1:6">
      <c r="A328" s="11">
        <v>327</v>
      </c>
      <c r="B328" s="12">
        <v>44157</v>
      </c>
      <c r="C328" s="11">
        <v>70.909578199999999</v>
      </c>
      <c r="D328" s="11">
        <f t="shared" si="17"/>
        <v>69.964317449240994</v>
      </c>
      <c r="E328" s="11">
        <f t="shared" si="15"/>
        <v>0.94526075075900451</v>
      </c>
      <c r="F328" s="11">
        <f t="shared" si="16"/>
        <v>0.89351788692547685</v>
      </c>
    </row>
    <row r="329" spans="1:6">
      <c r="A329" s="11">
        <v>328</v>
      </c>
      <c r="B329" s="12">
        <v>44158</v>
      </c>
      <c r="C329" s="11">
        <v>69.662073969999994</v>
      </c>
      <c r="D329" s="11">
        <f t="shared" si="17"/>
        <v>71.720778992137994</v>
      </c>
      <c r="E329" s="11">
        <f t="shared" si="15"/>
        <v>-2.0587050221379997</v>
      </c>
      <c r="F329" s="11">
        <f t="shared" si="16"/>
        <v>4.2382663681762214</v>
      </c>
    </row>
    <row r="330" spans="1:6">
      <c r="A330" s="11">
        <v>329</v>
      </c>
      <c r="B330" s="12">
        <v>44159</v>
      </c>
      <c r="C330" s="11">
        <v>69.888852170000007</v>
      </c>
      <c r="D330" s="11">
        <f t="shared" si="17"/>
        <v>70.552468284592294</v>
      </c>
      <c r="E330" s="11">
        <f t="shared" si="15"/>
        <v>-0.66361611459228698</v>
      </c>
      <c r="F330" s="11">
        <f t="shared" si="16"/>
        <v>0.44038634754656336</v>
      </c>
    </row>
    <row r="331" spans="1:6">
      <c r="A331" s="11">
        <v>330</v>
      </c>
      <c r="B331" s="12">
        <v>44160</v>
      </c>
      <c r="C331" s="11">
        <v>71.50601107</v>
      </c>
      <c r="D331" s="11">
        <f t="shared" si="17"/>
        <v>69.362935259930282</v>
      </c>
      <c r="E331" s="11">
        <f t="shared" si="15"/>
        <v>2.1430758100697176</v>
      </c>
      <c r="F331" s="11">
        <f t="shared" si="16"/>
        <v>4.5927739277059763</v>
      </c>
    </row>
    <row r="332" spans="1:6">
      <c r="A332" s="11">
        <v>331</v>
      </c>
      <c r="B332" s="12">
        <v>44161</v>
      </c>
      <c r="C332" s="11">
        <v>72.529721739999999</v>
      </c>
      <c r="D332" s="11">
        <f t="shared" si="17"/>
        <v>69.638197017181312</v>
      </c>
      <c r="E332" s="11">
        <f t="shared" si="15"/>
        <v>2.8915247228186871</v>
      </c>
      <c r="F332" s="11">
        <f t="shared" si="16"/>
        <v>8.3609152226716859</v>
      </c>
    </row>
    <row r="333" spans="1:6">
      <c r="A333" s="11">
        <v>332</v>
      </c>
      <c r="B333" s="12">
        <v>44162</v>
      </c>
      <c r="C333" s="11">
        <v>70.80745709</v>
      </c>
      <c r="D333" s="11">
        <f t="shared" si="17"/>
        <v>71.227103423926593</v>
      </c>
      <c r="E333" s="11">
        <f t="shared" si="15"/>
        <v>-0.41964633392659323</v>
      </c>
      <c r="F333" s="11">
        <f t="shared" si="16"/>
        <v>0.1761030455780298</v>
      </c>
    </row>
    <row r="334" spans="1:6">
      <c r="A334" s="11">
        <v>333</v>
      </c>
      <c r="B334" s="12">
        <v>44163</v>
      </c>
      <c r="C334" s="11">
        <v>70.03388898</v>
      </c>
      <c r="D334" s="11">
        <f t="shared" si="17"/>
        <v>72.148570268233087</v>
      </c>
      <c r="E334" s="11">
        <f t="shared" si="15"/>
        <v>-2.1146812882330863</v>
      </c>
      <c r="F334" s="11">
        <f t="shared" si="16"/>
        <v>4.4718769508031455</v>
      </c>
    </row>
    <row r="335" spans="1:6">
      <c r="A335" s="11">
        <v>334</v>
      </c>
      <c r="B335" s="12">
        <v>44164</v>
      </c>
      <c r="C335" s="11">
        <v>68.400012790000005</v>
      </c>
      <c r="D335" s="11">
        <f t="shared" si="17"/>
        <v>70.467664915198199</v>
      </c>
      <c r="E335" s="11">
        <f t="shared" si="15"/>
        <v>-2.0676521251981939</v>
      </c>
      <c r="F335" s="11">
        <f t="shared" si="16"/>
        <v>4.2751853108366076</v>
      </c>
    </row>
    <row r="336" spans="1:6">
      <c r="A336" s="11">
        <v>335</v>
      </c>
      <c r="B336" s="12">
        <v>44165</v>
      </c>
      <c r="C336" s="11">
        <v>68.71786487</v>
      </c>
      <c r="D336" s="11">
        <f t="shared" si="17"/>
        <v>69.666889875996091</v>
      </c>
      <c r="E336" s="11">
        <f t="shared" si="15"/>
        <v>-0.94902500599609141</v>
      </c>
      <c r="F336" s="11">
        <f t="shared" si="16"/>
        <v>0.90064846200588133</v>
      </c>
    </row>
    <row r="337" spans="1:6">
      <c r="A337" s="11">
        <v>336</v>
      </c>
      <c r="B337" s="12">
        <v>44166</v>
      </c>
      <c r="C337" s="11">
        <v>68.870424689999993</v>
      </c>
      <c r="D337" s="11">
        <f t="shared" si="17"/>
        <v>68.109681089123313</v>
      </c>
      <c r="E337" s="11">
        <f t="shared" si="15"/>
        <v>0.76074360087667969</v>
      </c>
      <c r="F337" s="11">
        <f t="shared" si="16"/>
        <v>0.57873082627481698</v>
      </c>
    </row>
    <row r="338" spans="1:6">
      <c r="A338" s="11">
        <v>337</v>
      </c>
      <c r="B338" s="12">
        <v>44167</v>
      </c>
      <c r="C338" s="11">
        <v>68.700063599999993</v>
      </c>
      <c r="D338" s="11">
        <f t="shared" si="17"/>
        <v>68.420248689917088</v>
      </c>
      <c r="E338" s="11">
        <f t="shared" si="15"/>
        <v>0.27981491008290504</v>
      </c>
      <c r="F338" s="11">
        <f t="shared" si="16"/>
        <v>7.8296383904704239E-2</v>
      </c>
    </row>
    <row r="339" spans="1:6">
      <c r="A339" s="11">
        <v>338</v>
      </c>
      <c r="B339" s="12">
        <v>44168</v>
      </c>
      <c r="C339" s="11">
        <v>71.240487470000005</v>
      </c>
      <c r="D339" s="11">
        <f t="shared" si="17"/>
        <v>68.560642965923989</v>
      </c>
      <c r="E339" s="11">
        <f t="shared" si="15"/>
        <v>2.6798445040760157</v>
      </c>
      <c r="F339" s="11">
        <f t="shared" si="16"/>
        <v>7.1815665660264267</v>
      </c>
    </row>
    <row r="340" spans="1:6">
      <c r="A340" s="11">
        <v>339</v>
      </c>
      <c r="B340" s="12">
        <v>44169</v>
      </c>
      <c r="C340" s="11">
        <v>70.341986739999996</v>
      </c>
      <c r="D340" s="11">
        <f t="shared" si="17"/>
        <v>68.487510005057288</v>
      </c>
      <c r="E340" s="11">
        <f t="shared" si="15"/>
        <v>1.8544767349427076</v>
      </c>
      <c r="F340" s="11">
        <f t="shared" si="16"/>
        <v>3.4390839604437655</v>
      </c>
    </row>
    <row r="341" spans="1:6">
      <c r="A341" s="11">
        <v>340</v>
      </c>
      <c r="B341" s="12">
        <v>44170</v>
      </c>
      <c r="C341" s="11">
        <v>69.301439900000005</v>
      </c>
      <c r="D341" s="11">
        <f t="shared" si="17"/>
        <v>70.894339279276608</v>
      </c>
      <c r="E341" s="11">
        <f t="shared" si="15"/>
        <v>-1.5928993792766022</v>
      </c>
      <c r="F341" s="11">
        <f t="shared" si="16"/>
        <v>2.5373284324997845</v>
      </c>
    </row>
    <row r="342" spans="1:6">
      <c r="A342" s="11">
        <v>341</v>
      </c>
      <c r="B342" s="12">
        <v>44171</v>
      </c>
      <c r="C342" s="11">
        <v>69.844116700000001</v>
      </c>
      <c r="D342" s="11">
        <f t="shared" si="17"/>
        <v>69.994745516440986</v>
      </c>
      <c r="E342" s="11">
        <f t="shared" si="15"/>
        <v>-0.15062881644098525</v>
      </c>
      <c r="F342" s="11">
        <f t="shared" si="16"/>
        <v>2.2689040342412026E-2</v>
      </c>
    </row>
    <row r="343" spans="1:6">
      <c r="A343" s="11">
        <v>342</v>
      </c>
      <c r="B343" s="12">
        <v>44172</v>
      </c>
      <c r="C343" s="11">
        <v>71.413863320000004</v>
      </c>
      <c r="D343" s="11">
        <f t="shared" si="17"/>
        <v>69.015134417353011</v>
      </c>
      <c r="E343" s="11">
        <f t="shared" si="15"/>
        <v>2.3987289026469938</v>
      </c>
      <c r="F343" s="11">
        <f t="shared" si="16"/>
        <v>5.7539003483940512</v>
      </c>
    </row>
    <row r="344" spans="1:6">
      <c r="A344" s="11">
        <v>343</v>
      </c>
      <c r="B344" s="12">
        <v>44173</v>
      </c>
      <c r="C344" s="11">
        <v>71.376198110000004</v>
      </c>
      <c r="D344" s="11">
        <f t="shared" si="17"/>
        <v>69.591971427558789</v>
      </c>
      <c r="E344" s="11">
        <f t="shared" si="15"/>
        <v>1.784226682441215</v>
      </c>
      <c r="F344" s="11">
        <f t="shared" si="16"/>
        <v>3.1834648543351842</v>
      </c>
    </row>
    <row r="345" spans="1:6">
      <c r="A345" s="11">
        <v>344</v>
      </c>
      <c r="B345" s="12">
        <v>44174</v>
      </c>
      <c r="C345" s="11">
        <v>73.160914980000001</v>
      </c>
      <c r="D345" s="11">
        <f t="shared" si="17"/>
        <v>71.097587677934897</v>
      </c>
      <c r="E345" s="11">
        <f t="shared" si="15"/>
        <v>2.0633273020651046</v>
      </c>
      <c r="F345" s="11">
        <f t="shared" si="16"/>
        <v>4.2573195554472631</v>
      </c>
    </row>
    <row r="346" spans="1:6">
      <c r="A346" s="11">
        <v>345</v>
      </c>
      <c r="B346" s="12">
        <v>44175</v>
      </c>
      <c r="C346" s="11">
        <v>71.409021580000001</v>
      </c>
      <c r="D346" s="11">
        <f t="shared" si="17"/>
        <v>71.124947149738205</v>
      </c>
      <c r="E346" s="11">
        <f t="shared" si="15"/>
        <v>0.28407443026179635</v>
      </c>
      <c r="F346" s="11">
        <f t="shared" si="16"/>
        <v>8.0698281928564194E-2</v>
      </c>
    </row>
    <row r="347" spans="1:6">
      <c r="A347" s="11">
        <v>346</v>
      </c>
      <c r="B347" s="12">
        <v>44176</v>
      </c>
      <c r="C347" s="11">
        <v>70.155854890000001</v>
      </c>
      <c r="D347" s="11">
        <f t="shared" si="17"/>
        <v>72.775925458832205</v>
      </c>
      <c r="E347" s="11">
        <f t="shared" si="15"/>
        <v>-2.6200705688322046</v>
      </c>
      <c r="F347" s="11">
        <f t="shared" si="16"/>
        <v>6.8647697856607124</v>
      </c>
    </row>
    <row r="348" spans="1:6">
      <c r="A348" s="11">
        <v>347</v>
      </c>
      <c r="B348" s="12">
        <v>44177</v>
      </c>
      <c r="C348" s="11">
        <v>69.946407140000005</v>
      </c>
      <c r="D348" s="11">
        <f t="shared" si="17"/>
        <v>71.049507592335104</v>
      </c>
      <c r="E348" s="11">
        <f t="shared" si="15"/>
        <v>-1.1031004523350987</v>
      </c>
      <c r="F348" s="11">
        <f t="shared" si="16"/>
        <v>1.2168306079418993</v>
      </c>
    </row>
    <row r="349" spans="1:6">
      <c r="A349" s="11">
        <v>348</v>
      </c>
      <c r="B349" s="12">
        <v>44178</v>
      </c>
      <c r="C349" s="11">
        <v>71.356137200000006</v>
      </c>
      <c r="D349" s="11">
        <f t="shared" si="17"/>
        <v>69.839013324512607</v>
      </c>
      <c r="E349" s="11">
        <f t="shared" si="15"/>
        <v>1.5171238754873997</v>
      </c>
      <c r="F349" s="11">
        <f t="shared" si="16"/>
        <v>2.3016648535739068</v>
      </c>
    </row>
    <row r="350" spans="1:6">
      <c r="A350" s="11">
        <v>349</v>
      </c>
      <c r="B350" s="12">
        <v>44179</v>
      </c>
      <c r="C350" s="11">
        <v>71.336999129999995</v>
      </c>
      <c r="D350" s="11">
        <f t="shared" si="17"/>
        <v>69.688115777348003</v>
      </c>
      <c r="E350" s="11">
        <f t="shared" si="15"/>
        <v>1.6488833526519926</v>
      </c>
      <c r="F350" s="11">
        <f t="shared" si="16"/>
        <v>2.7188163106528753</v>
      </c>
    </row>
    <row r="351" spans="1:6">
      <c r="A351" s="11">
        <v>350</v>
      </c>
      <c r="B351" s="12">
        <v>44180</v>
      </c>
      <c r="C351" s="11">
        <v>70.279128619999994</v>
      </c>
      <c r="D351" s="11">
        <f t="shared" si="17"/>
        <v>71.040775511036699</v>
      </c>
      <c r="E351" s="11">
        <f t="shared" si="15"/>
        <v>-0.76164689103670469</v>
      </c>
      <c r="F351" s="11">
        <f t="shared" si="16"/>
        <v>0.58010598662587787</v>
      </c>
    </row>
    <row r="352" spans="1:6">
      <c r="A352" s="11">
        <v>351</v>
      </c>
      <c r="B352" s="12">
        <v>44181</v>
      </c>
      <c r="C352" s="11">
        <v>68.81888884</v>
      </c>
      <c r="D352" s="11">
        <f t="shared" si="17"/>
        <v>70.984753352385781</v>
      </c>
      <c r="E352" s="11">
        <f t="shared" si="15"/>
        <v>-2.1658645123857809</v>
      </c>
      <c r="F352" s="11">
        <f t="shared" si="16"/>
        <v>4.6909690860120969</v>
      </c>
    </row>
    <row r="353" spans="1:6">
      <c r="A353" s="11">
        <v>352</v>
      </c>
      <c r="B353" s="12">
        <v>44182</v>
      </c>
      <c r="C353" s="11">
        <v>69.452038169999994</v>
      </c>
      <c r="D353" s="11">
        <f t="shared" si="17"/>
        <v>69.917227729015593</v>
      </c>
      <c r="E353" s="11">
        <f t="shared" si="15"/>
        <v>-0.46518955901559877</v>
      </c>
      <c r="F353" s="11">
        <f t="shared" si="16"/>
        <v>0.21640132581712726</v>
      </c>
    </row>
    <row r="354" spans="1:6">
      <c r="A354" s="11">
        <v>353</v>
      </c>
      <c r="B354" s="12">
        <v>44183</v>
      </c>
      <c r="C354" s="11">
        <v>71.426901079999993</v>
      </c>
      <c r="D354" s="11">
        <f t="shared" si="17"/>
        <v>68.5379313248703</v>
      </c>
      <c r="E354" s="11">
        <f t="shared" si="15"/>
        <v>2.8889697551296933</v>
      </c>
      <c r="F354" s="11">
        <f t="shared" si="16"/>
        <v>8.3461462460541203</v>
      </c>
    </row>
    <row r="355" spans="1:6">
      <c r="A355" s="11">
        <v>354</v>
      </c>
      <c r="B355" s="12">
        <v>44184</v>
      </c>
      <c r="C355" s="11">
        <v>70.610147400000002</v>
      </c>
      <c r="D355" s="11">
        <f t="shared" si="17"/>
        <v>69.216040052637183</v>
      </c>
      <c r="E355" s="11">
        <f t="shared" si="15"/>
        <v>1.3941073473628194</v>
      </c>
      <c r="F355" s="11">
        <f t="shared" si="16"/>
        <v>1.9435352959709968</v>
      </c>
    </row>
    <row r="356" spans="1:6">
      <c r="A356" s="11">
        <v>355</v>
      </c>
      <c r="B356" s="12">
        <v>44185</v>
      </c>
      <c r="C356" s="11">
        <v>70.466961740000002</v>
      </c>
      <c r="D356" s="11">
        <f t="shared" si="17"/>
        <v>71.082840182765992</v>
      </c>
      <c r="E356" s="11">
        <f t="shared" si="15"/>
        <v>-0.61587844276598958</v>
      </c>
      <c r="F356" s="11">
        <f t="shared" si="16"/>
        <v>0.37930625626386028</v>
      </c>
    </row>
    <row r="357" spans="1:6">
      <c r="A357" s="11">
        <v>356</v>
      </c>
      <c r="B357" s="12">
        <v>44186</v>
      </c>
      <c r="C357" s="11">
        <v>70.343280609999994</v>
      </c>
      <c r="D357" s="11">
        <f t="shared" si="17"/>
        <v>70.293660672326595</v>
      </c>
      <c r="E357" s="11">
        <f t="shared" si="15"/>
        <v>4.961993767339834E-2</v>
      </c>
      <c r="F357" s="11">
        <f t="shared" si="16"/>
        <v>2.4621382147119357E-3</v>
      </c>
    </row>
    <row r="358" spans="1:6">
      <c r="A358" s="11">
        <v>357</v>
      </c>
      <c r="B358" s="12">
        <v>44187</v>
      </c>
      <c r="C358" s="11">
        <v>70.929399500000002</v>
      </c>
      <c r="D358" s="11">
        <f t="shared" si="17"/>
        <v>70.151800627309896</v>
      </c>
      <c r="E358" s="11">
        <f t="shared" si="15"/>
        <v>0.77759887269010619</v>
      </c>
      <c r="F358" s="11">
        <f t="shared" si="16"/>
        <v>0.60466000680892396</v>
      </c>
    </row>
    <row r="359" spans="1:6">
      <c r="A359" s="11">
        <v>358</v>
      </c>
      <c r="B359" s="12">
        <v>44188</v>
      </c>
      <c r="C359" s="11">
        <v>69.649901779999993</v>
      </c>
      <c r="D359" s="11">
        <f t="shared" si="17"/>
        <v>70.053926713804998</v>
      </c>
      <c r="E359" s="11">
        <f t="shared" si="15"/>
        <v>-0.40402493380500459</v>
      </c>
      <c r="F359" s="11">
        <f t="shared" si="16"/>
        <v>0.16323614713613835</v>
      </c>
    </row>
    <row r="360" spans="1:6">
      <c r="A360" s="11">
        <v>359</v>
      </c>
      <c r="B360" s="12">
        <v>44189</v>
      </c>
      <c r="C360" s="11">
        <v>71.857768250000007</v>
      </c>
      <c r="D360" s="11">
        <f t="shared" si="17"/>
        <v>70.571063524350208</v>
      </c>
      <c r="E360" s="11">
        <f t="shared" si="15"/>
        <v>1.2867047256497983</v>
      </c>
      <c r="F360" s="11">
        <f t="shared" si="16"/>
        <v>1.6556090510095227</v>
      </c>
    </row>
    <row r="361" spans="1:6">
      <c r="A361" s="11">
        <v>360</v>
      </c>
      <c r="B361" s="12">
        <v>44190</v>
      </c>
      <c r="C361" s="11">
        <v>69.940529310000002</v>
      </c>
      <c r="D361" s="11">
        <f t="shared" si="17"/>
        <v>69.421323680817494</v>
      </c>
      <c r="E361" s="11">
        <f t="shared" si="15"/>
        <v>0.51920562918250823</v>
      </c>
      <c r="F361" s="11">
        <f t="shared" si="16"/>
        <v>0.26957448537480422</v>
      </c>
    </row>
    <row r="362" spans="1:6">
      <c r="A362" s="11">
        <v>361</v>
      </c>
      <c r="B362" s="12">
        <v>44191</v>
      </c>
      <c r="C362" s="11">
        <v>69.041436020000006</v>
      </c>
      <c r="D362" s="11">
        <f t="shared" si="17"/>
        <v>71.472640958142904</v>
      </c>
      <c r="E362" s="11">
        <f t="shared" si="15"/>
        <v>-2.4312049381428977</v>
      </c>
      <c r="F362" s="11">
        <f t="shared" si="16"/>
        <v>5.9107574512504115</v>
      </c>
    </row>
    <row r="363" spans="1:6">
      <c r="A363" s="11">
        <v>362</v>
      </c>
      <c r="B363" s="12">
        <v>44192</v>
      </c>
      <c r="C363" s="11">
        <v>70.380795359999993</v>
      </c>
      <c r="D363" s="11">
        <f t="shared" si="17"/>
        <v>69.600092845551799</v>
      </c>
      <c r="E363" s="11">
        <f t="shared" si="15"/>
        <v>0.78070251444819405</v>
      </c>
      <c r="F363" s="11">
        <f t="shared" si="16"/>
        <v>0.60949641606573268</v>
      </c>
    </row>
    <row r="364" spans="1:6">
      <c r="A364" s="11">
        <v>363</v>
      </c>
      <c r="B364" s="12">
        <v>44193</v>
      </c>
      <c r="C364" s="11">
        <v>70.812779579999997</v>
      </c>
      <c r="D364" s="11">
        <f t="shared" si="17"/>
        <v>68.784631086062404</v>
      </c>
      <c r="E364" s="11">
        <f t="shared" si="15"/>
        <v>2.0281484939375929</v>
      </c>
      <c r="F364" s="11">
        <f t="shared" si="16"/>
        <v>4.1133863134613264</v>
      </c>
    </row>
    <row r="365" spans="1:6">
      <c r="A365" s="11">
        <v>364</v>
      </c>
      <c r="B365" s="12">
        <v>44194</v>
      </c>
      <c r="C365" s="11">
        <v>71.203415300000003</v>
      </c>
      <c r="D365" s="11">
        <f t="shared" si="17"/>
        <v>70.08579037085218</v>
      </c>
      <c r="E365" s="11">
        <f t="shared" si="15"/>
        <v>1.1176249291478229</v>
      </c>
      <c r="F365" s="11">
        <f t="shared" si="16"/>
        <v>1.249085482252676</v>
      </c>
    </row>
    <row r="366" spans="1:6">
      <c r="A366" s="11">
        <v>365</v>
      </c>
      <c r="B366" s="12">
        <v>44195</v>
      </c>
      <c r="C366" s="11">
        <v>69.982112970000003</v>
      </c>
      <c r="D366" s="11">
        <f t="shared" si="17"/>
        <v>70.514397947326998</v>
      </c>
      <c r="E366" s="11">
        <f t="shared" si="15"/>
        <v>-0.53228497732699509</v>
      </c>
      <c r="F366" s="11">
        <f t="shared" si="16"/>
        <v>0.2833272970879997</v>
      </c>
    </row>
    <row r="367" spans="1:6">
      <c r="A367" s="11">
        <v>366</v>
      </c>
      <c r="B367" s="12">
        <v>44196</v>
      </c>
      <c r="C367" s="11">
        <v>69.553438209999996</v>
      </c>
      <c r="D367" s="11">
        <f t="shared" si="17"/>
        <v>70.8459420886023</v>
      </c>
      <c r="E367" s="11">
        <f t="shared" si="15"/>
        <v>-1.2925038786023038</v>
      </c>
      <c r="F367" s="11">
        <f t="shared" si="16"/>
        <v>1.6705662762019988</v>
      </c>
    </row>
    <row r="368" spans="1:6">
      <c r="A368" s="11">
        <v>367</v>
      </c>
      <c r="B368" s="12">
        <v>44197</v>
      </c>
      <c r="C368" s="11">
        <v>69.749661020000005</v>
      </c>
      <c r="D368" s="11">
        <f t="shared" si="17"/>
        <v>69.658235317093897</v>
      </c>
      <c r="E368" s="11">
        <f t="shared" si="15"/>
        <v>9.1425702906107631E-2</v>
      </c>
      <c r="F368" s="11">
        <f t="shared" si="16"/>
        <v>8.3586591518758566E-3</v>
      </c>
    </row>
    <row r="369" spans="1:6">
      <c r="A369" s="11">
        <v>368</v>
      </c>
      <c r="B369" s="12">
        <v>44198</v>
      </c>
      <c r="C369" s="11">
        <v>71.55302476</v>
      </c>
      <c r="D369" s="11">
        <f t="shared" si="17"/>
        <v>69.253691117301798</v>
      </c>
      <c r="E369" s="11">
        <f t="shared" si="15"/>
        <v>2.2993336426982012</v>
      </c>
      <c r="F369" s="11">
        <f t="shared" si="16"/>
        <v>5.2869352004437786</v>
      </c>
    </row>
    <row r="370" spans="1:6">
      <c r="A370" s="11">
        <v>369</v>
      </c>
      <c r="B370" s="12">
        <v>44199</v>
      </c>
      <c r="C370" s="11">
        <v>71.697345580000004</v>
      </c>
      <c r="D370" s="11">
        <f t="shared" si="17"/>
        <v>69.506246730408392</v>
      </c>
      <c r="E370" s="11">
        <f t="shared" si="15"/>
        <v>2.1910988495916115</v>
      </c>
      <c r="F370" s="11">
        <f t="shared" si="16"/>
        <v>4.8009141686816834</v>
      </c>
    </row>
    <row r="371" spans="1:6">
      <c r="A371" s="11">
        <v>370</v>
      </c>
      <c r="B371" s="12">
        <v>44200</v>
      </c>
      <c r="C371" s="11">
        <v>71.349172030000005</v>
      </c>
      <c r="D371" s="11">
        <f t="shared" si="17"/>
        <v>71.242612298792196</v>
      </c>
      <c r="E371" s="11">
        <f t="shared" si="15"/>
        <v>0.1065597312078097</v>
      </c>
      <c r="F371" s="11">
        <f t="shared" si="16"/>
        <v>1.1354976315080654E-2</v>
      </c>
    </row>
    <row r="372" spans="1:6">
      <c r="A372" s="11">
        <v>371</v>
      </c>
      <c r="B372" s="12">
        <v>44201</v>
      </c>
      <c r="C372" s="11">
        <v>69.642373449999994</v>
      </c>
      <c r="D372" s="11">
        <f t="shared" si="17"/>
        <v>71.368768789347698</v>
      </c>
      <c r="E372" s="11">
        <f t="shared" si="15"/>
        <v>-1.7263953393477038</v>
      </c>
      <c r="F372" s="11">
        <f t="shared" si="16"/>
        <v>2.9804408677214735</v>
      </c>
    </row>
    <row r="373" spans="1:6">
      <c r="A373" s="11">
        <v>372</v>
      </c>
      <c r="B373" s="12">
        <v>44202</v>
      </c>
      <c r="C373" s="11">
        <v>70.349555100000003</v>
      </c>
      <c r="D373" s="11">
        <f t="shared" si="17"/>
        <v>70.973777219885491</v>
      </c>
      <c r="E373" s="11">
        <f t="shared" si="15"/>
        <v>-0.62422211988548781</v>
      </c>
      <c r="F373" s="11">
        <f t="shared" si="16"/>
        <v>0.38965325495433234</v>
      </c>
    </row>
    <row r="374" spans="1:6">
      <c r="A374" s="11">
        <v>373</v>
      </c>
      <c r="B374" s="12">
        <v>44203</v>
      </c>
      <c r="C374" s="11">
        <v>70.542602689999995</v>
      </c>
      <c r="D374" s="11">
        <f t="shared" si="17"/>
        <v>69.360419178008982</v>
      </c>
      <c r="E374" s="11">
        <f t="shared" si="15"/>
        <v>1.1821835119910133</v>
      </c>
      <c r="F374" s="11">
        <f t="shared" si="16"/>
        <v>1.3975578560234063</v>
      </c>
    </row>
    <row r="375" spans="1:6">
      <c r="A375" s="11">
        <v>374</v>
      </c>
      <c r="B375" s="12">
        <v>44204</v>
      </c>
      <c r="C375" s="11">
        <v>71.609840399999996</v>
      </c>
      <c r="D375" s="11">
        <f t="shared" si="17"/>
        <v>70.046184125737099</v>
      </c>
      <c r="E375" s="11">
        <f t="shared" si="15"/>
        <v>1.5636562742628968</v>
      </c>
      <c r="F375" s="11">
        <f t="shared" si="16"/>
        <v>2.4450209440417234</v>
      </c>
    </row>
    <row r="376" spans="1:6">
      <c r="A376" s="11">
        <v>375</v>
      </c>
      <c r="B376" s="12">
        <v>44205</v>
      </c>
      <c r="C376" s="11">
        <v>72.817183589999999</v>
      </c>
      <c r="D376" s="11">
        <f t="shared" si="17"/>
        <v>70.269492802236002</v>
      </c>
      <c r="E376" s="11">
        <f t="shared" si="15"/>
        <v>2.5476907877639974</v>
      </c>
      <c r="F376" s="11">
        <f t="shared" si="16"/>
        <v>6.4907283500575375</v>
      </c>
    </row>
    <row r="377" spans="1:6">
      <c r="A377" s="11">
        <v>376</v>
      </c>
      <c r="B377" s="12">
        <v>44206</v>
      </c>
      <c r="C377" s="11">
        <v>70.900592259999996</v>
      </c>
      <c r="D377" s="11">
        <f t="shared" si="17"/>
        <v>71.337010347968089</v>
      </c>
      <c r="E377" s="11">
        <f t="shared" si="15"/>
        <v>-0.436418087968093</v>
      </c>
      <c r="F377" s="11">
        <f t="shared" si="16"/>
        <v>0.19046074750572617</v>
      </c>
    </row>
    <row r="378" spans="1:6">
      <c r="A378" s="11">
        <v>377</v>
      </c>
      <c r="B378" s="12">
        <v>44207</v>
      </c>
      <c r="C378" s="11">
        <v>69.288897149999997</v>
      </c>
      <c r="D378" s="11">
        <f t="shared" si="17"/>
        <v>72.427848324933407</v>
      </c>
      <c r="E378" s="11">
        <f t="shared" si="15"/>
        <v>-3.1389511749334105</v>
      </c>
      <c r="F378" s="11">
        <f t="shared" si="16"/>
        <v>9.8530144786158385</v>
      </c>
    </row>
    <row r="379" spans="1:6">
      <c r="A379" s="11">
        <v>378</v>
      </c>
      <c r="B379" s="12">
        <v>44208</v>
      </c>
      <c r="C379" s="11">
        <v>68.439115619999995</v>
      </c>
      <c r="D379" s="11">
        <f t="shared" si="17"/>
        <v>70.530560419168495</v>
      </c>
      <c r="E379" s="11">
        <f t="shared" si="15"/>
        <v>-2.0914447991684995</v>
      </c>
      <c r="F379" s="11">
        <f t="shared" si="16"/>
        <v>4.3741413479689646</v>
      </c>
    </row>
    <row r="380" spans="1:6">
      <c r="A380" s="11">
        <v>379</v>
      </c>
      <c r="B380" s="12">
        <v>44209</v>
      </c>
      <c r="C380" s="11">
        <v>69.133220719999997</v>
      </c>
      <c r="D380" s="11">
        <f t="shared" si="17"/>
        <v>68.953089388915799</v>
      </c>
      <c r="E380" s="11">
        <f t="shared" si="15"/>
        <v>0.18013133108419765</v>
      </c>
      <c r="F380" s="11">
        <f t="shared" si="16"/>
        <v>3.2447296438164831E-2</v>
      </c>
    </row>
    <row r="381" spans="1:6">
      <c r="A381" s="11">
        <v>380</v>
      </c>
      <c r="B381" s="12">
        <v>44210</v>
      </c>
      <c r="C381" s="11">
        <v>69.566172289999997</v>
      </c>
      <c r="D381" s="11">
        <f t="shared" si="17"/>
        <v>68.162002320624794</v>
      </c>
      <c r="E381" s="11">
        <f t="shared" si="15"/>
        <v>1.4041699693752037</v>
      </c>
      <c r="F381" s="11">
        <f t="shared" si="16"/>
        <v>1.9716933028951604</v>
      </c>
    </row>
    <row r="382" spans="1:6">
      <c r="A382" s="11">
        <v>381</v>
      </c>
      <c r="B382" s="12">
        <v>44211</v>
      </c>
      <c r="C382" s="11">
        <v>70.359241560000001</v>
      </c>
      <c r="D382" s="11">
        <f t="shared" si="17"/>
        <v>68.843751963001083</v>
      </c>
      <c r="E382" s="11">
        <f t="shared" si="15"/>
        <v>1.5154895969989184</v>
      </c>
      <c r="F382" s="11">
        <f t="shared" si="16"/>
        <v>2.2967087186119439</v>
      </c>
    </row>
    <row r="383" spans="1:6">
      <c r="A383" s="11">
        <v>382</v>
      </c>
      <c r="B383" s="12">
        <v>44212</v>
      </c>
      <c r="C383" s="11">
        <v>70.201126430000002</v>
      </c>
      <c r="D383" s="11">
        <f t="shared" si="17"/>
        <v>69.287610805520401</v>
      </c>
      <c r="E383" s="11">
        <f t="shared" si="15"/>
        <v>0.91351562447960077</v>
      </c>
      <c r="F383" s="11">
        <f t="shared" si="16"/>
        <v>0.834510796168355</v>
      </c>
    </row>
    <row r="384" spans="1:6">
      <c r="A384" s="11">
        <v>383</v>
      </c>
      <c r="B384" s="12">
        <v>44213</v>
      </c>
      <c r="C384" s="11">
        <v>69.651304109999998</v>
      </c>
      <c r="D384" s="11">
        <f t="shared" si="17"/>
        <v>70.043329987243709</v>
      </c>
      <c r="E384" s="11">
        <f t="shared" si="15"/>
        <v>-0.39202587724371085</v>
      </c>
      <c r="F384" s="11">
        <f t="shared" si="16"/>
        <v>0.15368428842870105</v>
      </c>
    </row>
    <row r="385" spans="1:6">
      <c r="A385" s="11">
        <v>384</v>
      </c>
      <c r="B385" s="12">
        <v>44214</v>
      </c>
      <c r="C385" s="11">
        <v>70.795029670000005</v>
      </c>
      <c r="D385" s="11">
        <f t="shared" si="17"/>
        <v>69.871971286074896</v>
      </c>
      <c r="E385" s="11">
        <f t="shared" si="15"/>
        <v>0.92305838392510964</v>
      </c>
      <c r="F385" s="11">
        <f t="shared" si="16"/>
        <v>0.85203678013443507</v>
      </c>
    </row>
    <row r="386" spans="1:6">
      <c r="A386" s="11">
        <v>385</v>
      </c>
      <c r="B386" s="12">
        <v>44215</v>
      </c>
      <c r="C386" s="11">
        <v>69.643746340000007</v>
      </c>
      <c r="D386" s="11">
        <f t="shared" si="17"/>
        <v>69.384847051555298</v>
      </c>
      <c r="E386" s="11">
        <f t="shared" si="15"/>
        <v>0.25889928844470944</v>
      </c>
      <c r="F386" s="11">
        <f t="shared" si="16"/>
        <v>6.7028841557176866E-2</v>
      </c>
    </row>
    <row r="387" spans="1:6">
      <c r="A387" s="11">
        <v>386</v>
      </c>
      <c r="B387" s="12">
        <v>44216</v>
      </c>
      <c r="C387" s="11">
        <v>69.98084686</v>
      </c>
      <c r="D387" s="11">
        <f t="shared" si="17"/>
        <v>70.441849415440601</v>
      </c>
      <c r="E387" s="11">
        <f t="shared" si="15"/>
        <v>-0.46100255544060076</v>
      </c>
      <c r="F387" s="11">
        <f t="shared" si="16"/>
        <v>0.21252335612276418</v>
      </c>
    </row>
    <row r="388" spans="1:6">
      <c r="A388" s="11">
        <v>387</v>
      </c>
      <c r="B388" s="12">
        <v>44217</v>
      </c>
      <c r="C388" s="11">
        <v>69.689442479999997</v>
      </c>
      <c r="D388" s="11">
        <f t="shared" si="17"/>
        <v>69.348614826147397</v>
      </c>
      <c r="E388" s="11">
        <f t="shared" ref="E388:E451" si="18">C388-D388</f>
        <v>0.34082765385259961</v>
      </c>
      <c r="F388" s="11">
        <f t="shared" ref="F388:F451" si="19">E388^2</f>
        <v>0.11616348963066746</v>
      </c>
    </row>
    <row r="389" spans="1:6">
      <c r="A389" s="11">
        <v>388</v>
      </c>
      <c r="B389" s="12">
        <v>44218</v>
      </c>
      <c r="C389" s="11">
        <v>70.543779939999993</v>
      </c>
      <c r="D389" s="11">
        <f t="shared" ref="D389:D452" si="20">0.03559*C388+0.96*C387</f>
        <v>69.661860243463195</v>
      </c>
      <c r="E389" s="11">
        <f t="shared" si="18"/>
        <v>0.88191969653679791</v>
      </c>
      <c r="F389" s="11">
        <f t="shared" si="19"/>
        <v>0.77778235113955774</v>
      </c>
    </row>
    <row r="390" spans="1:6">
      <c r="A390" s="11">
        <v>389</v>
      </c>
      <c r="B390" s="12">
        <v>44219</v>
      </c>
      <c r="C390" s="11">
        <v>71.804696759999999</v>
      </c>
      <c r="D390" s="11">
        <f t="shared" si="20"/>
        <v>69.412517908864601</v>
      </c>
      <c r="E390" s="11">
        <f t="shared" si="18"/>
        <v>2.3921788511353981</v>
      </c>
      <c r="F390" s="11">
        <f t="shared" si="19"/>
        <v>5.7225196558194726</v>
      </c>
    </row>
    <row r="391" spans="1:6">
      <c r="A391" s="11">
        <v>390</v>
      </c>
      <c r="B391" s="12">
        <v>44220</v>
      </c>
      <c r="C391" s="11">
        <v>70.616585819999997</v>
      </c>
      <c r="D391" s="11">
        <f t="shared" si="20"/>
        <v>70.277557900088382</v>
      </c>
      <c r="E391" s="11">
        <f t="shared" si="18"/>
        <v>0.33902791991161507</v>
      </c>
      <c r="F391" s="11">
        <f t="shared" si="19"/>
        <v>0.11493993047959648</v>
      </c>
    </row>
    <row r="392" spans="1:6">
      <c r="A392" s="11">
        <v>391</v>
      </c>
      <c r="B392" s="12">
        <v>44221</v>
      </c>
      <c r="C392" s="11">
        <v>70.269575369999998</v>
      </c>
      <c r="D392" s="11">
        <f t="shared" si="20"/>
        <v>71.445753178933799</v>
      </c>
      <c r="E392" s="11">
        <f t="shared" si="18"/>
        <v>-1.1761778089338009</v>
      </c>
      <c r="F392" s="11">
        <f t="shared" si="19"/>
        <v>1.3833942382283166</v>
      </c>
    </row>
    <row r="393" spans="1:6">
      <c r="A393" s="11">
        <v>392</v>
      </c>
      <c r="B393" s="12">
        <v>44222</v>
      </c>
      <c r="C393" s="11">
        <v>70.155562340000003</v>
      </c>
      <c r="D393" s="11">
        <f t="shared" si="20"/>
        <v>70.292816574618286</v>
      </c>
      <c r="E393" s="11">
        <f t="shared" si="18"/>
        <v>-0.13725423461828257</v>
      </c>
      <c r="F393" s="11">
        <f t="shared" si="19"/>
        <v>1.8838724920650557E-2</v>
      </c>
    </row>
    <row r="394" spans="1:6">
      <c r="A394" s="11">
        <v>393</v>
      </c>
      <c r="B394" s="12">
        <v>44223</v>
      </c>
      <c r="C394" s="11">
        <v>69.213042389999998</v>
      </c>
      <c r="D394" s="11">
        <f t="shared" si="20"/>
        <v>69.955628818880584</v>
      </c>
      <c r="E394" s="11">
        <f t="shared" si="18"/>
        <v>-0.74258642888058546</v>
      </c>
      <c r="F394" s="11">
        <f t="shared" si="19"/>
        <v>0.55143460435762082</v>
      </c>
    </row>
    <row r="395" spans="1:6">
      <c r="A395" s="11">
        <v>394</v>
      </c>
      <c r="B395" s="12">
        <v>44224</v>
      </c>
      <c r="C395" s="11">
        <v>69.721944239999999</v>
      </c>
      <c r="D395" s="11">
        <f t="shared" si="20"/>
        <v>69.812632025060097</v>
      </c>
      <c r="E395" s="11">
        <f t="shared" si="18"/>
        <v>-9.0687785060097781E-2</v>
      </c>
      <c r="F395" s="11">
        <f t="shared" si="19"/>
        <v>8.2242743591064947E-3</v>
      </c>
    </row>
    <row r="396" spans="1:6">
      <c r="A396" s="11">
        <v>395</v>
      </c>
      <c r="B396" s="12">
        <v>44225</v>
      </c>
      <c r="C396" s="11">
        <v>70.358374330000004</v>
      </c>
      <c r="D396" s="11">
        <f t="shared" si="20"/>
        <v>68.925924689901592</v>
      </c>
      <c r="E396" s="11">
        <f t="shared" si="18"/>
        <v>1.4324496400984117</v>
      </c>
      <c r="F396" s="11">
        <f t="shared" si="19"/>
        <v>2.0519119714180691</v>
      </c>
    </row>
    <row r="397" spans="1:6">
      <c r="A397" s="11">
        <v>396</v>
      </c>
      <c r="B397" s="12">
        <v>44226</v>
      </c>
      <c r="C397" s="11">
        <v>70.711312149999998</v>
      </c>
      <c r="D397" s="11">
        <f t="shared" si="20"/>
        <v>69.437121012804695</v>
      </c>
      <c r="E397" s="11">
        <f t="shared" si="18"/>
        <v>1.2741911371953023</v>
      </c>
      <c r="F397" s="11">
        <f t="shared" si="19"/>
        <v>1.6235630541070576</v>
      </c>
    </row>
    <row r="398" spans="1:6">
      <c r="A398" s="11">
        <v>397</v>
      </c>
      <c r="B398" s="12">
        <v>44227</v>
      </c>
      <c r="C398" s="11">
        <v>70.120876089999996</v>
      </c>
      <c r="D398" s="11">
        <f t="shared" si="20"/>
        <v>70.060654956218499</v>
      </c>
      <c r="E398" s="11">
        <f t="shared" si="18"/>
        <v>6.0221133781496405E-2</v>
      </c>
      <c r="F398" s="11">
        <f t="shared" si="19"/>
        <v>3.6265849539288877E-3</v>
      </c>
    </row>
    <row r="399" spans="1:6">
      <c r="A399" s="11">
        <v>398</v>
      </c>
      <c r="B399" s="12">
        <v>44228</v>
      </c>
      <c r="C399" s="11">
        <v>69.953324309999999</v>
      </c>
      <c r="D399" s="11">
        <f t="shared" si="20"/>
        <v>70.378461644043099</v>
      </c>
      <c r="E399" s="11">
        <f t="shared" si="18"/>
        <v>-0.42513733404310017</v>
      </c>
      <c r="F399" s="11">
        <f t="shared" si="19"/>
        <v>0.18074175279727453</v>
      </c>
    </row>
    <row r="400" spans="1:6">
      <c r="A400" s="11">
        <v>399</v>
      </c>
      <c r="B400" s="12">
        <v>44229</v>
      </c>
      <c r="C400" s="11">
        <v>68.788120809999995</v>
      </c>
      <c r="D400" s="11">
        <f t="shared" si="20"/>
        <v>69.805679858592882</v>
      </c>
      <c r="E400" s="11">
        <f t="shared" si="18"/>
        <v>-1.0175590485928865</v>
      </c>
      <c r="F400" s="11">
        <f t="shared" si="19"/>
        <v>1.0354264173732604</v>
      </c>
    </row>
    <row r="401" spans="1:6">
      <c r="A401" s="11">
        <v>400</v>
      </c>
      <c r="B401" s="12">
        <v>44230</v>
      </c>
      <c r="C401" s="11">
        <v>68.928761120000004</v>
      </c>
      <c r="D401" s="11">
        <f t="shared" si="20"/>
        <v>69.603360557227901</v>
      </c>
      <c r="E401" s="11">
        <f t="shared" si="18"/>
        <v>-0.67459943722789717</v>
      </c>
      <c r="F401" s="11">
        <f t="shared" si="19"/>
        <v>0.45508440070819556</v>
      </c>
    </row>
  </sheetData>
  <mergeCells count="1">
    <mergeCell ref="G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5E6E-5B12-4804-8A64-251C00235883}">
  <dimension ref="A1:H401"/>
  <sheetViews>
    <sheetView topLeftCell="D1" zoomScale="65" workbookViewId="0">
      <selection activeCell="J20" sqref="J20"/>
    </sheetView>
  </sheetViews>
  <sheetFormatPr defaultRowHeight="14.45"/>
  <cols>
    <col min="2" max="2" width="10.5703125" customWidth="1"/>
    <col min="3" max="3" width="14.28515625" bestFit="1" customWidth="1"/>
    <col min="4" max="4" width="26.140625" customWidth="1"/>
    <col min="5" max="5" width="14.7109375" customWidth="1"/>
    <col min="6" max="6" width="9.140625" bestFit="1" customWidth="1"/>
    <col min="7" max="7" width="11.5703125" customWidth="1"/>
    <col min="8" max="8" width="9.28515625" bestFit="1" customWidth="1"/>
  </cols>
  <sheetData>
    <row r="1" spans="1:8">
      <c r="A1" s="9" t="s">
        <v>0</v>
      </c>
      <c r="B1" s="9" t="s">
        <v>1</v>
      </c>
      <c r="C1" s="9" t="s">
        <v>2</v>
      </c>
      <c r="D1" s="10" t="s">
        <v>11</v>
      </c>
      <c r="E1" s="9" t="s">
        <v>4</v>
      </c>
      <c r="F1" s="9" t="s">
        <v>5</v>
      </c>
    </row>
    <row r="2" spans="1:8">
      <c r="A2" s="11">
        <v>1</v>
      </c>
      <c r="B2" s="12">
        <v>43831</v>
      </c>
      <c r="C2" s="11">
        <v>68.346715680000003</v>
      </c>
      <c r="D2" s="11"/>
      <c r="E2" s="11"/>
      <c r="F2" s="11"/>
      <c r="G2" s="35" t="s">
        <v>12</v>
      </c>
      <c r="H2" s="36"/>
    </row>
    <row r="3" spans="1:8">
      <c r="A3" s="11">
        <v>2</v>
      </c>
      <c r="B3" s="12">
        <v>43832</v>
      </c>
      <c r="C3" s="11">
        <v>69.648484909999993</v>
      </c>
      <c r="D3" s="11">
        <f t="shared" ref="D3:D66" si="0">0.99 * C2</f>
        <v>67.663248523199996</v>
      </c>
      <c r="E3" s="11">
        <f t="shared" ref="E3:E66" si="1">C3-D3</f>
        <v>1.9852363867999969</v>
      </c>
      <c r="F3" s="11">
        <f t="shared" ref="F3:F66" si="2">E3^2</f>
        <v>3.941163511474707</v>
      </c>
      <c r="G3" s="3">
        <f>AVERAGE(F4:F401)</f>
        <v>1.8322402582860866</v>
      </c>
      <c r="H3" s="2" t="s">
        <v>7</v>
      </c>
    </row>
    <row r="4" spans="1:8">
      <c r="A4" s="11">
        <v>3</v>
      </c>
      <c r="B4" s="12">
        <v>43833</v>
      </c>
      <c r="C4" s="11">
        <v>69.340707750000007</v>
      </c>
      <c r="D4" s="11">
        <f t="shared" si="0"/>
        <v>68.952000060899991</v>
      </c>
      <c r="E4" s="11">
        <f t="shared" si="1"/>
        <v>0.3887076891000163</v>
      </c>
      <c r="F4" s="11">
        <f t="shared" si="2"/>
        <v>0.15109366756547493</v>
      </c>
      <c r="G4" s="3">
        <f>SQRT(G3)</f>
        <v>1.3536026958772234</v>
      </c>
      <c r="H4" s="2" t="s">
        <v>8</v>
      </c>
    </row>
    <row r="5" spans="1:8">
      <c r="A5" s="11">
        <v>4</v>
      </c>
      <c r="B5" s="12">
        <v>43834</v>
      </c>
      <c r="C5" s="11">
        <v>69.947982330000002</v>
      </c>
      <c r="D5" s="11">
        <f t="shared" si="0"/>
        <v>68.647300672500009</v>
      </c>
      <c r="E5" s="11">
        <f t="shared" si="1"/>
        <v>1.3006816574999931</v>
      </c>
      <c r="F5" s="11">
        <f t="shared" si="2"/>
        <v>1.6917727741569293</v>
      </c>
    </row>
    <row r="6" spans="1:8">
      <c r="A6" s="11">
        <v>5</v>
      </c>
      <c r="B6" s="12">
        <v>43835</v>
      </c>
      <c r="C6" s="11">
        <v>68.760614149999995</v>
      </c>
      <c r="D6" s="11">
        <f t="shared" si="0"/>
        <v>69.248502506700007</v>
      </c>
      <c r="E6" s="11">
        <f t="shared" si="1"/>
        <v>-0.48788835670001163</v>
      </c>
      <c r="F6" s="11">
        <f t="shared" si="2"/>
        <v>0.23803504860343777</v>
      </c>
    </row>
    <row r="7" spans="1:8">
      <c r="A7" s="11">
        <v>6</v>
      </c>
      <c r="B7" s="12">
        <v>43836</v>
      </c>
      <c r="C7" s="11">
        <v>68.681916150000006</v>
      </c>
      <c r="D7" s="11">
        <f t="shared" si="0"/>
        <v>68.073008008499997</v>
      </c>
      <c r="E7" s="11">
        <f t="shared" si="1"/>
        <v>0.60890814150000949</v>
      </c>
      <c r="F7" s="11">
        <f t="shared" si="2"/>
        <v>0.37076912478499557</v>
      </c>
    </row>
    <row r="8" spans="1:8">
      <c r="A8" s="11">
        <v>7</v>
      </c>
      <c r="B8" s="12">
        <v>43837</v>
      </c>
      <c r="C8" s="11">
        <v>69.470476039999994</v>
      </c>
      <c r="D8" s="11">
        <f t="shared" si="0"/>
        <v>67.995096988500009</v>
      </c>
      <c r="E8" s="11">
        <f t="shared" si="1"/>
        <v>1.4753790514999849</v>
      </c>
      <c r="F8" s="11">
        <f t="shared" si="2"/>
        <v>2.1767433456049954</v>
      </c>
    </row>
    <row r="9" spans="1:8">
      <c r="A9" s="11">
        <v>8</v>
      </c>
      <c r="B9" s="12">
        <v>43838</v>
      </c>
      <c r="C9" s="11">
        <v>68.417010970000007</v>
      </c>
      <c r="D9" s="11">
        <f t="shared" si="0"/>
        <v>68.775771279599994</v>
      </c>
      <c r="E9" s="11">
        <f t="shared" si="1"/>
        <v>-0.35876030959998673</v>
      </c>
      <c r="F9" s="11">
        <f t="shared" si="2"/>
        <v>0.12870895974427832</v>
      </c>
    </row>
    <row r="10" spans="1:8">
      <c r="A10" s="11">
        <v>9</v>
      </c>
      <c r="B10" s="12">
        <v>43839</v>
      </c>
      <c r="C10" s="11">
        <v>69.324211640000001</v>
      </c>
      <c r="D10" s="11">
        <f t="shared" si="0"/>
        <v>67.732840860300001</v>
      </c>
      <c r="E10" s="11">
        <f t="shared" si="1"/>
        <v>1.5913707797000001</v>
      </c>
      <c r="F10" s="11">
        <f t="shared" si="2"/>
        <v>2.5324609584829862</v>
      </c>
    </row>
    <row r="11" spans="1:8">
      <c r="A11" s="11">
        <v>10</v>
      </c>
      <c r="B11" s="12">
        <v>43840</v>
      </c>
      <c r="C11" s="11">
        <v>69.690276130000001</v>
      </c>
      <c r="D11" s="11">
        <f t="shared" si="0"/>
        <v>68.630969523600001</v>
      </c>
      <c r="E11" s="11">
        <f t="shared" si="1"/>
        <v>1.0593066063999999</v>
      </c>
      <c r="F11" s="11">
        <f t="shared" si="2"/>
        <v>1.1221304863626842</v>
      </c>
    </row>
    <row r="12" spans="1:8">
      <c r="A12" s="11">
        <v>11</v>
      </c>
      <c r="B12" s="12">
        <v>43841</v>
      </c>
      <c r="C12" s="11">
        <v>68.274545989999993</v>
      </c>
      <c r="D12" s="11">
        <f t="shared" si="0"/>
        <v>68.993373368700006</v>
      </c>
      <c r="E12" s="11">
        <f t="shared" si="1"/>
        <v>-0.71882737870001279</v>
      </c>
      <c r="F12" s="11">
        <f t="shared" si="2"/>
        <v>0.51671280036873157</v>
      </c>
    </row>
    <row r="13" spans="1:8">
      <c r="A13" s="11">
        <v>12</v>
      </c>
      <c r="B13" s="12">
        <v>43842</v>
      </c>
      <c r="C13" s="11">
        <v>67.754401999999999</v>
      </c>
      <c r="D13" s="11">
        <f t="shared" si="0"/>
        <v>67.591800530099988</v>
      </c>
      <c r="E13" s="11">
        <f t="shared" si="1"/>
        <v>0.1626014699000109</v>
      </c>
      <c r="F13" s="11">
        <f t="shared" si="2"/>
        <v>2.6439238013644149E-2</v>
      </c>
    </row>
    <row r="14" spans="1:8">
      <c r="A14" s="11">
        <v>13</v>
      </c>
      <c r="B14" s="12">
        <v>43843</v>
      </c>
      <c r="C14" s="11">
        <v>69.775397490000003</v>
      </c>
      <c r="D14" s="11">
        <f t="shared" si="0"/>
        <v>67.07685798</v>
      </c>
      <c r="E14" s="11">
        <f t="shared" si="1"/>
        <v>2.6985395100000034</v>
      </c>
      <c r="F14" s="11">
        <f t="shared" si="2"/>
        <v>7.2821154870310583</v>
      </c>
    </row>
    <row r="15" spans="1:8">
      <c r="A15" s="11">
        <v>14</v>
      </c>
      <c r="B15" s="12">
        <v>43844</v>
      </c>
      <c r="C15" s="11">
        <v>71.434473879999999</v>
      </c>
      <c r="D15" s="11">
        <f t="shared" si="0"/>
        <v>69.077643515100007</v>
      </c>
      <c r="E15" s="11">
        <f t="shared" si="1"/>
        <v>2.3568303648999915</v>
      </c>
      <c r="F15" s="11">
        <f t="shared" si="2"/>
        <v>5.5546493689146272</v>
      </c>
    </row>
    <row r="16" spans="1:8">
      <c r="A16" s="11">
        <v>15</v>
      </c>
      <c r="B16" s="12">
        <v>43845</v>
      </c>
      <c r="C16" s="11">
        <v>70.796156440000004</v>
      </c>
      <c r="D16" s="11">
        <f t="shared" si="0"/>
        <v>70.720129141200005</v>
      </c>
      <c r="E16" s="11">
        <f t="shared" si="1"/>
        <v>7.6027298799999699E-2</v>
      </c>
      <c r="F16" s="11">
        <f t="shared" si="2"/>
        <v>5.7801501628244358E-3</v>
      </c>
    </row>
    <row r="17" spans="1:6">
      <c r="A17" s="11">
        <v>16</v>
      </c>
      <c r="B17" s="12">
        <v>43846</v>
      </c>
      <c r="C17" s="11">
        <v>70.452113510000004</v>
      </c>
      <c r="D17" s="11">
        <f t="shared" si="0"/>
        <v>70.08819487560001</v>
      </c>
      <c r="E17" s="11">
        <f t="shared" si="1"/>
        <v>0.36391863439999383</v>
      </c>
      <c r="F17" s="11">
        <f t="shared" si="2"/>
        <v>0.13243677246355637</v>
      </c>
    </row>
    <row r="18" spans="1:6">
      <c r="A18" s="11">
        <v>17</v>
      </c>
      <c r="B18" s="12">
        <v>43847</v>
      </c>
      <c r="C18" s="11">
        <v>70.256264740000006</v>
      </c>
      <c r="D18" s="11">
        <f t="shared" si="0"/>
        <v>69.747592374900009</v>
      </c>
      <c r="E18" s="11">
        <f t="shared" si="1"/>
        <v>0.50867236509999714</v>
      </c>
      <c r="F18" s="11">
        <f t="shared" si="2"/>
        <v>0.25874757501642476</v>
      </c>
    </row>
    <row r="19" spans="1:6">
      <c r="A19" s="11">
        <v>18</v>
      </c>
      <c r="B19" s="12">
        <v>43848</v>
      </c>
      <c r="C19" s="11">
        <v>70.347747769999998</v>
      </c>
      <c r="D19" s="11">
        <f t="shared" si="0"/>
        <v>69.553702092600005</v>
      </c>
      <c r="E19" s="11">
        <f t="shared" si="1"/>
        <v>0.79404567739999266</v>
      </c>
      <c r="F19" s="11">
        <f t="shared" si="2"/>
        <v>0.63050853779761318</v>
      </c>
    </row>
    <row r="20" spans="1:6">
      <c r="A20" s="11">
        <v>19</v>
      </c>
      <c r="B20" s="12">
        <v>43849</v>
      </c>
      <c r="C20" s="11">
        <v>71.417753250000004</v>
      </c>
      <c r="D20" s="11">
        <f t="shared" si="0"/>
        <v>69.644270292299993</v>
      </c>
      <c r="E20" s="11">
        <f t="shared" si="1"/>
        <v>1.7734829577000113</v>
      </c>
      <c r="F20" s="11">
        <f t="shared" si="2"/>
        <v>3.14524180125238</v>
      </c>
    </row>
    <row r="21" spans="1:6">
      <c r="A21" s="11">
        <v>20</v>
      </c>
      <c r="B21" s="12">
        <v>43850</v>
      </c>
      <c r="C21" s="11">
        <v>69.239329220000002</v>
      </c>
      <c r="D21" s="11">
        <f t="shared" si="0"/>
        <v>70.703575717500001</v>
      </c>
      <c r="E21" s="11">
        <f t="shared" si="1"/>
        <v>-1.4642464974999996</v>
      </c>
      <c r="F21" s="11">
        <f t="shared" si="2"/>
        <v>2.1440178054410164</v>
      </c>
    </row>
    <row r="22" spans="1:6">
      <c r="A22" s="11">
        <v>21</v>
      </c>
      <c r="B22" s="12">
        <v>43851</v>
      </c>
      <c r="C22" s="11">
        <v>69.794732289999999</v>
      </c>
      <c r="D22" s="11">
        <f t="shared" si="0"/>
        <v>68.546935927800007</v>
      </c>
      <c r="E22" s="11">
        <f t="shared" si="1"/>
        <v>1.2477963621999919</v>
      </c>
      <c r="F22" s="11">
        <f t="shared" si="2"/>
        <v>1.5569957615195333</v>
      </c>
    </row>
    <row r="23" spans="1:6">
      <c r="A23" s="11">
        <v>22</v>
      </c>
      <c r="B23" s="12">
        <v>43852</v>
      </c>
      <c r="C23" s="11">
        <v>69.723031649999996</v>
      </c>
      <c r="D23" s="11">
        <f t="shared" si="0"/>
        <v>69.096784967099993</v>
      </c>
      <c r="E23" s="11">
        <f t="shared" si="1"/>
        <v>0.62624668290000329</v>
      </c>
      <c r="F23" s="11">
        <f t="shared" si="2"/>
        <v>0.39218490784325727</v>
      </c>
    </row>
    <row r="24" spans="1:6">
      <c r="A24" s="11">
        <v>23</v>
      </c>
      <c r="B24" s="12">
        <v>43853</v>
      </c>
      <c r="C24" s="11">
        <v>69.671140370000003</v>
      </c>
      <c r="D24" s="11">
        <f t="shared" si="0"/>
        <v>69.025801333499999</v>
      </c>
      <c r="E24" s="11">
        <f t="shared" si="1"/>
        <v>0.64533903650000468</v>
      </c>
      <c r="F24" s="11">
        <f t="shared" si="2"/>
        <v>0.41646247203075437</v>
      </c>
    </row>
    <row r="25" spans="1:6">
      <c r="A25" s="11">
        <v>24</v>
      </c>
      <c r="B25" s="12">
        <v>43854</v>
      </c>
      <c r="C25" s="11">
        <v>69.583524999999995</v>
      </c>
      <c r="D25" s="11">
        <f t="shared" si="0"/>
        <v>68.974428966299996</v>
      </c>
      <c r="E25" s="11">
        <f t="shared" si="1"/>
        <v>0.60909603369999843</v>
      </c>
      <c r="F25" s="11">
        <f t="shared" si="2"/>
        <v>0.37099797826906961</v>
      </c>
    </row>
    <row r="26" spans="1:6">
      <c r="A26" s="11">
        <v>25</v>
      </c>
      <c r="B26" s="12">
        <v>43855</v>
      </c>
      <c r="C26" s="11">
        <v>69.473625769999998</v>
      </c>
      <c r="D26" s="11">
        <f t="shared" si="0"/>
        <v>68.887689749999993</v>
      </c>
      <c r="E26" s="11">
        <f t="shared" si="1"/>
        <v>0.58593602000000544</v>
      </c>
      <c r="F26" s="11">
        <f t="shared" si="2"/>
        <v>0.34332101953344679</v>
      </c>
    </row>
    <row r="27" spans="1:6">
      <c r="A27" s="11">
        <v>26</v>
      </c>
      <c r="B27" s="12">
        <v>43856</v>
      </c>
      <c r="C27" s="11">
        <v>68.582921769999999</v>
      </c>
      <c r="D27" s="11">
        <f t="shared" si="0"/>
        <v>68.778889512299997</v>
      </c>
      <c r="E27" s="11">
        <f t="shared" si="1"/>
        <v>-0.1959677422999988</v>
      </c>
      <c r="F27" s="11">
        <f t="shared" si="2"/>
        <v>3.840335602215874E-2</v>
      </c>
    </row>
    <row r="28" spans="1:6">
      <c r="A28" s="11">
        <v>27</v>
      </c>
      <c r="B28" s="12">
        <v>43857</v>
      </c>
      <c r="C28" s="11">
        <v>69.491004529999998</v>
      </c>
      <c r="D28" s="11">
        <f t="shared" si="0"/>
        <v>67.897092552299995</v>
      </c>
      <c r="E28" s="11">
        <f t="shared" si="1"/>
        <v>1.593911977700003</v>
      </c>
      <c r="F28" s="11">
        <f t="shared" si="2"/>
        <v>2.5405553926555351</v>
      </c>
    </row>
    <row r="29" spans="1:6">
      <c r="A29" s="11">
        <v>28</v>
      </c>
      <c r="B29" s="12">
        <v>43858</v>
      </c>
      <c r="C29" s="11">
        <v>71.790669219999998</v>
      </c>
      <c r="D29" s="11">
        <f t="shared" si="0"/>
        <v>68.796094484699992</v>
      </c>
      <c r="E29" s="11">
        <f t="shared" si="1"/>
        <v>2.9945747353000058</v>
      </c>
      <c r="F29" s="11">
        <f t="shared" si="2"/>
        <v>8.9674778452971005</v>
      </c>
    </row>
    <row r="30" spans="1:6">
      <c r="A30" s="11">
        <v>29</v>
      </c>
      <c r="B30" s="12">
        <v>43859</v>
      </c>
      <c r="C30" s="11">
        <v>71.170967149999996</v>
      </c>
      <c r="D30" s="11">
        <f t="shared" si="0"/>
        <v>71.072762527799995</v>
      </c>
      <c r="E30" s="11">
        <f t="shared" si="1"/>
        <v>9.8204622200000813E-2</v>
      </c>
      <c r="F30" s="11">
        <f t="shared" si="2"/>
        <v>9.6441478214448918E-3</v>
      </c>
    </row>
    <row r="31" spans="1:6">
      <c r="A31" s="11">
        <v>30</v>
      </c>
      <c r="B31" s="12">
        <v>43860</v>
      </c>
      <c r="C31" s="11">
        <v>70.163994479999999</v>
      </c>
      <c r="D31" s="11">
        <f t="shared" si="0"/>
        <v>70.459257478499993</v>
      </c>
      <c r="E31" s="11">
        <f t="shared" si="1"/>
        <v>-0.29526299849999305</v>
      </c>
      <c r="F31" s="11">
        <f t="shared" si="2"/>
        <v>8.7180238283206896E-2</v>
      </c>
    </row>
    <row r="32" spans="1:6">
      <c r="A32" s="11">
        <v>31</v>
      </c>
      <c r="B32" s="12">
        <v>43861</v>
      </c>
      <c r="C32" s="11">
        <v>69.059807509999999</v>
      </c>
      <c r="D32" s="11">
        <f t="shared" si="0"/>
        <v>69.462354535199992</v>
      </c>
      <c r="E32" s="11">
        <f t="shared" si="1"/>
        <v>-0.40254702519999341</v>
      </c>
      <c r="F32" s="11">
        <f t="shared" si="2"/>
        <v>0.16204410749736414</v>
      </c>
    </row>
    <row r="33" spans="1:6">
      <c r="A33" s="11">
        <v>32</v>
      </c>
      <c r="B33" s="12">
        <v>43862</v>
      </c>
      <c r="C33" s="11">
        <v>69.269211609999999</v>
      </c>
      <c r="D33" s="11">
        <f t="shared" si="0"/>
        <v>68.3692094349</v>
      </c>
      <c r="E33" s="11">
        <f t="shared" si="1"/>
        <v>0.90000217509999914</v>
      </c>
      <c r="F33" s="11">
        <f t="shared" si="2"/>
        <v>0.81000391518472947</v>
      </c>
    </row>
    <row r="34" spans="1:6">
      <c r="A34" s="11">
        <v>33</v>
      </c>
      <c r="B34" s="12">
        <v>43863</v>
      </c>
      <c r="C34" s="11">
        <v>70.309751140000003</v>
      </c>
      <c r="D34" s="11">
        <f t="shared" si="0"/>
        <v>68.576519493899994</v>
      </c>
      <c r="E34" s="11">
        <f t="shared" si="1"/>
        <v>1.733231646100009</v>
      </c>
      <c r="F34" s="11">
        <f t="shared" si="2"/>
        <v>3.0040919390425467</v>
      </c>
    </row>
    <row r="35" spans="1:6">
      <c r="A35" s="11">
        <v>34</v>
      </c>
      <c r="B35" s="12">
        <v>43864</v>
      </c>
      <c r="C35" s="11">
        <v>70.034844759999999</v>
      </c>
      <c r="D35" s="11">
        <f t="shared" si="0"/>
        <v>69.6066536286</v>
      </c>
      <c r="E35" s="11">
        <f t="shared" si="1"/>
        <v>0.42819113139999843</v>
      </c>
      <c r="F35" s="11">
        <f t="shared" si="2"/>
        <v>0.1833476450096107</v>
      </c>
    </row>
    <row r="36" spans="1:6">
      <c r="A36" s="11">
        <v>35</v>
      </c>
      <c r="B36" s="12">
        <v>43865</v>
      </c>
      <c r="C36" s="11">
        <v>69.474177470000001</v>
      </c>
      <c r="D36" s="11">
        <f t="shared" si="0"/>
        <v>69.334496312399992</v>
      </c>
      <c r="E36" s="11">
        <f t="shared" si="1"/>
        <v>0.13968115760000899</v>
      </c>
      <c r="F36" s="11">
        <f t="shared" si="2"/>
        <v>1.9510825788478549E-2</v>
      </c>
    </row>
    <row r="37" spans="1:6">
      <c r="A37" s="11">
        <v>36</v>
      </c>
      <c r="B37" s="12">
        <v>43866</v>
      </c>
      <c r="C37" s="11">
        <v>70.077317600000001</v>
      </c>
      <c r="D37" s="11">
        <f t="shared" si="0"/>
        <v>68.779435695299995</v>
      </c>
      <c r="E37" s="11">
        <f t="shared" si="1"/>
        <v>1.2978819047000059</v>
      </c>
      <c r="F37" s="11">
        <f t="shared" si="2"/>
        <v>1.6844974385477152</v>
      </c>
    </row>
    <row r="38" spans="1:6">
      <c r="A38" s="11">
        <v>37</v>
      </c>
      <c r="B38" s="12">
        <v>43867</v>
      </c>
      <c r="C38" s="11">
        <v>69.286132550000005</v>
      </c>
      <c r="D38" s="11">
        <f t="shared" si="0"/>
        <v>69.376544424000002</v>
      </c>
      <c r="E38" s="11">
        <f t="shared" si="1"/>
        <v>-9.0411873999997283E-2</v>
      </c>
      <c r="F38" s="11">
        <f t="shared" si="2"/>
        <v>8.174306960191384E-3</v>
      </c>
    </row>
    <row r="39" spans="1:6">
      <c r="A39" s="11">
        <v>38</v>
      </c>
      <c r="B39" s="12">
        <v>43868</v>
      </c>
      <c r="C39" s="11">
        <v>69.800980879999997</v>
      </c>
      <c r="D39" s="11">
        <f t="shared" si="0"/>
        <v>68.5932712245</v>
      </c>
      <c r="E39" s="11">
        <f t="shared" si="1"/>
        <v>1.2077096554999969</v>
      </c>
      <c r="F39" s="11">
        <f t="shared" si="2"/>
        <v>1.4585626119879211</v>
      </c>
    </row>
    <row r="40" spans="1:6">
      <c r="A40" s="11">
        <v>39</v>
      </c>
      <c r="B40" s="12">
        <v>43869</v>
      </c>
      <c r="C40" s="11">
        <v>70.915070560000004</v>
      </c>
      <c r="D40" s="11">
        <f t="shared" si="0"/>
        <v>69.102971071200002</v>
      </c>
      <c r="E40" s="11">
        <f t="shared" si="1"/>
        <v>1.8120994888000013</v>
      </c>
      <c r="F40" s="11">
        <f t="shared" si="2"/>
        <v>3.2837045573092261</v>
      </c>
    </row>
    <row r="41" spans="1:6">
      <c r="A41" s="11">
        <v>40</v>
      </c>
      <c r="B41" s="12">
        <v>43870</v>
      </c>
      <c r="C41" s="11">
        <v>71.968696609999995</v>
      </c>
      <c r="D41" s="11">
        <f t="shared" si="0"/>
        <v>70.205919854400008</v>
      </c>
      <c r="E41" s="11">
        <f t="shared" si="1"/>
        <v>1.7627767555999867</v>
      </c>
      <c r="F41" s="11">
        <f t="shared" si="2"/>
        <v>3.1073818900836154</v>
      </c>
    </row>
    <row r="42" spans="1:6">
      <c r="A42" s="11">
        <v>41</v>
      </c>
      <c r="B42" s="12">
        <v>43871</v>
      </c>
      <c r="C42" s="11">
        <v>70.816314790000007</v>
      </c>
      <c r="D42" s="11">
        <f t="shared" si="0"/>
        <v>71.249009643899996</v>
      </c>
      <c r="E42" s="11">
        <f t="shared" si="1"/>
        <v>-0.43269485389998863</v>
      </c>
      <c r="F42" s="11">
        <f t="shared" si="2"/>
        <v>0.1872248365915325</v>
      </c>
    </row>
    <row r="43" spans="1:6">
      <c r="A43" s="11">
        <v>42</v>
      </c>
      <c r="B43" s="12">
        <v>43872</v>
      </c>
      <c r="C43" s="11">
        <v>71.266777129999994</v>
      </c>
      <c r="D43" s="11">
        <f t="shared" si="0"/>
        <v>70.108151642100012</v>
      </c>
      <c r="E43" s="11">
        <f t="shared" si="1"/>
        <v>1.1586254878999824</v>
      </c>
      <c r="F43" s="11">
        <f t="shared" si="2"/>
        <v>1.3424130212114724</v>
      </c>
    </row>
    <row r="44" spans="1:6">
      <c r="A44" s="11">
        <v>43</v>
      </c>
      <c r="B44" s="12">
        <v>43873</v>
      </c>
      <c r="C44" s="11">
        <v>71.54958173</v>
      </c>
      <c r="D44" s="11">
        <f t="shared" si="0"/>
        <v>70.554109358699989</v>
      </c>
      <c r="E44" s="11">
        <f t="shared" si="1"/>
        <v>0.99547237130001065</v>
      </c>
      <c r="F44" s="11">
        <f t="shared" si="2"/>
        <v>0.99096524202166625</v>
      </c>
    </row>
    <row r="45" spans="1:6">
      <c r="A45" s="11">
        <v>44</v>
      </c>
      <c r="B45" s="12">
        <v>43874</v>
      </c>
      <c r="C45" s="11">
        <v>69.553503259999999</v>
      </c>
      <c r="D45" s="11">
        <f t="shared" si="0"/>
        <v>70.834085912700004</v>
      </c>
      <c r="E45" s="11">
        <f t="shared" si="1"/>
        <v>-1.280582652700005</v>
      </c>
      <c r="F45" s="11">
        <f t="shared" si="2"/>
        <v>1.6398919303961816</v>
      </c>
    </row>
    <row r="46" spans="1:6">
      <c r="A46" s="11">
        <v>45</v>
      </c>
      <c r="B46" s="12">
        <v>43875</v>
      </c>
      <c r="C46" s="11">
        <v>68.049288919999995</v>
      </c>
      <c r="D46" s="11">
        <f t="shared" si="0"/>
        <v>68.857968227399994</v>
      </c>
      <c r="E46" s="11">
        <f t="shared" si="1"/>
        <v>-0.80867930739999849</v>
      </c>
      <c r="F46" s="11">
        <f t="shared" si="2"/>
        <v>0.65396222221694122</v>
      </c>
    </row>
    <row r="47" spans="1:6">
      <c r="A47" s="11">
        <v>46</v>
      </c>
      <c r="B47" s="12">
        <v>43876</v>
      </c>
      <c r="C47" s="11">
        <v>68.658558740000004</v>
      </c>
      <c r="D47" s="11">
        <f t="shared" si="0"/>
        <v>67.368796030799999</v>
      </c>
      <c r="E47" s="11">
        <f t="shared" si="1"/>
        <v>1.289762709200005</v>
      </c>
      <c r="F47" s="11">
        <f t="shared" si="2"/>
        <v>1.6634878460429368</v>
      </c>
    </row>
    <row r="48" spans="1:6">
      <c r="A48" s="11">
        <v>47</v>
      </c>
      <c r="B48" s="12">
        <v>43877</v>
      </c>
      <c r="C48" s="11">
        <v>70.809284059999996</v>
      </c>
      <c r="D48" s="11">
        <f t="shared" si="0"/>
        <v>67.9719731526</v>
      </c>
      <c r="E48" s="11">
        <f t="shared" si="1"/>
        <v>2.8373109073999956</v>
      </c>
      <c r="F48" s="11">
        <f t="shared" si="2"/>
        <v>8.0503331852509863</v>
      </c>
    </row>
    <row r="49" spans="1:6">
      <c r="A49" s="11">
        <v>48</v>
      </c>
      <c r="B49" s="12">
        <v>43878</v>
      </c>
      <c r="C49" s="11">
        <v>70.81571581</v>
      </c>
      <c r="D49" s="11">
        <f t="shared" si="0"/>
        <v>70.101191219399993</v>
      </c>
      <c r="E49" s="11">
        <f t="shared" si="1"/>
        <v>0.71452459060000706</v>
      </c>
      <c r="F49" s="11">
        <f t="shared" si="2"/>
        <v>0.51054539057210768</v>
      </c>
    </row>
    <row r="50" spans="1:6">
      <c r="A50" s="11">
        <v>49</v>
      </c>
      <c r="B50" s="12">
        <v>43879</v>
      </c>
      <c r="C50" s="11">
        <v>69.645986710000003</v>
      </c>
      <c r="D50" s="11">
        <f t="shared" si="0"/>
        <v>70.107558651899993</v>
      </c>
      <c r="E50" s="11">
        <f t="shared" si="1"/>
        <v>-0.46157194189999018</v>
      </c>
      <c r="F50" s="11">
        <f t="shared" si="2"/>
        <v>0.21304865754932792</v>
      </c>
    </row>
    <row r="51" spans="1:6">
      <c r="A51" s="11">
        <v>50</v>
      </c>
      <c r="B51" s="12">
        <v>43880</v>
      </c>
      <c r="C51" s="11">
        <v>71.095120460000004</v>
      </c>
      <c r="D51" s="11">
        <f t="shared" si="0"/>
        <v>68.949526842899999</v>
      </c>
      <c r="E51" s="11">
        <f t="shared" si="1"/>
        <v>2.1455936171000047</v>
      </c>
      <c r="F51" s="11">
        <f t="shared" si="2"/>
        <v>4.6035719697402815</v>
      </c>
    </row>
    <row r="52" spans="1:6">
      <c r="A52" s="11">
        <v>51</v>
      </c>
      <c r="B52" s="12">
        <v>43881</v>
      </c>
      <c r="C52" s="11">
        <v>71.050180749999996</v>
      </c>
      <c r="D52" s="11">
        <f t="shared" si="0"/>
        <v>70.384169255399996</v>
      </c>
      <c r="E52" s="11">
        <f t="shared" si="1"/>
        <v>0.66601149459999931</v>
      </c>
      <c r="F52" s="11">
        <f t="shared" si="2"/>
        <v>0.44357131093932489</v>
      </c>
    </row>
    <row r="53" spans="1:6">
      <c r="A53" s="11">
        <v>52</v>
      </c>
      <c r="B53" s="12">
        <v>43882</v>
      </c>
      <c r="C53" s="11">
        <v>67.980978039999997</v>
      </c>
      <c r="D53" s="11">
        <f t="shared" si="0"/>
        <v>70.339678942500001</v>
      </c>
      <c r="E53" s="11">
        <f t="shared" si="1"/>
        <v>-2.3587009025000043</v>
      </c>
      <c r="F53" s="11">
        <f t="shared" si="2"/>
        <v>5.563469947454335</v>
      </c>
    </row>
    <row r="54" spans="1:6">
      <c r="A54" s="11">
        <v>53</v>
      </c>
      <c r="B54" s="12">
        <v>43883</v>
      </c>
      <c r="C54" s="11">
        <v>68.790693219999994</v>
      </c>
      <c r="D54" s="11">
        <f t="shared" si="0"/>
        <v>67.30116825959999</v>
      </c>
      <c r="E54" s="11">
        <f t="shared" si="1"/>
        <v>1.4895249604000043</v>
      </c>
      <c r="F54" s="11">
        <f t="shared" si="2"/>
        <v>2.2186846076546343</v>
      </c>
    </row>
    <row r="55" spans="1:6">
      <c r="A55" s="11">
        <v>54</v>
      </c>
      <c r="B55" s="12">
        <v>43884</v>
      </c>
      <c r="C55" s="11">
        <v>70.400163140000004</v>
      </c>
      <c r="D55" s="11">
        <f t="shared" si="0"/>
        <v>68.102786287800001</v>
      </c>
      <c r="E55" s="11">
        <f t="shared" si="1"/>
        <v>2.2973768522000029</v>
      </c>
      <c r="F55" s="11">
        <f t="shared" si="2"/>
        <v>5.2779404010243942</v>
      </c>
    </row>
    <row r="56" spans="1:6">
      <c r="A56" s="11">
        <v>55</v>
      </c>
      <c r="B56" s="12">
        <v>43885</v>
      </c>
      <c r="C56" s="11">
        <v>70.828498569999994</v>
      </c>
      <c r="D56" s="11">
        <f t="shared" si="0"/>
        <v>69.696161508599999</v>
      </c>
      <c r="E56" s="11">
        <f t="shared" si="1"/>
        <v>1.1323370613999941</v>
      </c>
      <c r="F56" s="11">
        <f t="shared" si="2"/>
        <v>1.282187220619974</v>
      </c>
    </row>
    <row r="57" spans="1:6">
      <c r="A57" s="11">
        <v>56</v>
      </c>
      <c r="B57" s="12">
        <v>43886</v>
      </c>
      <c r="C57" s="11">
        <v>70.826762299999999</v>
      </c>
      <c r="D57" s="11">
        <f t="shared" si="0"/>
        <v>70.120213584299989</v>
      </c>
      <c r="E57" s="11">
        <f t="shared" si="1"/>
        <v>0.70654871570000921</v>
      </c>
      <c r="F57" s="11">
        <f t="shared" si="2"/>
        <v>0.49921108765733246</v>
      </c>
    </row>
    <row r="58" spans="1:6">
      <c r="A58" s="11">
        <v>57</v>
      </c>
      <c r="B58" s="12">
        <v>43887</v>
      </c>
      <c r="C58" s="11">
        <v>70.180232200000006</v>
      </c>
      <c r="D58" s="11">
        <f t="shared" si="0"/>
        <v>70.118494677000001</v>
      </c>
      <c r="E58" s="11">
        <f t="shared" si="1"/>
        <v>6.1737523000005012E-2</v>
      </c>
      <c r="F58" s="11">
        <f t="shared" si="2"/>
        <v>3.8115217461761478E-3</v>
      </c>
    </row>
    <row r="59" spans="1:6">
      <c r="A59" s="11">
        <v>58</v>
      </c>
      <c r="B59" s="12">
        <v>43888</v>
      </c>
      <c r="C59" s="11">
        <v>68.541714760000005</v>
      </c>
      <c r="D59" s="11">
        <f t="shared" si="0"/>
        <v>69.478429878</v>
      </c>
      <c r="E59" s="11">
        <f t="shared" si="1"/>
        <v>-0.93671511799999507</v>
      </c>
      <c r="F59" s="11">
        <f t="shared" si="2"/>
        <v>0.87743521228974475</v>
      </c>
    </row>
    <row r="60" spans="1:6">
      <c r="A60" s="11">
        <v>59</v>
      </c>
      <c r="B60" s="12">
        <v>43889</v>
      </c>
      <c r="C60" s="11">
        <v>68.700255189999993</v>
      </c>
      <c r="D60" s="11">
        <f t="shared" si="0"/>
        <v>67.856297612399999</v>
      </c>
      <c r="E60" s="11">
        <f t="shared" si="1"/>
        <v>0.84395757759999412</v>
      </c>
      <c r="F60" s="11">
        <f t="shared" si="2"/>
        <v>0.71226439278845011</v>
      </c>
    </row>
    <row r="61" spans="1:6">
      <c r="A61" s="11">
        <v>60</v>
      </c>
      <c r="B61" s="12">
        <v>43890</v>
      </c>
      <c r="C61" s="11">
        <v>68.71202289</v>
      </c>
      <c r="D61" s="11">
        <f t="shared" si="0"/>
        <v>68.013252638099999</v>
      </c>
      <c r="E61" s="11">
        <f t="shared" si="1"/>
        <v>0.69877025190000097</v>
      </c>
      <c r="F61" s="11">
        <f t="shared" si="2"/>
        <v>0.48827986494039083</v>
      </c>
    </row>
    <row r="62" spans="1:6">
      <c r="A62" s="11">
        <v>61</v>
      </c>
      <c r="B62" s="12">
        <v>43891</v>
      </c>
      <c r="C62" s="11">
        <v>68.684396269999993</v>
      </c>
      <c r="D62" s="11">
        <f t="shared" si="0"/>
        <v>68.024902661100001</v>
      </c>
      <c r="E62" s="11">
        <f t="shared" si="1"/>
        <v>0.65949360889999298</v>
      </c>
      <c r="F62" s="11">
        <f t="shared" si="2"/>
        <v>0.43493182017993692</v>
      </c>
    </row>
    <row r="63" spans="1:6">
      <c r="A63" s="11">
        <v>62</v>
      </c>
      <c r="B63" s="12">
        <v>43892</v>
      </c>
      <c r="C63" s="11">
        <v>68.333962540000002</v>
      </c>
      <c r="D63" s="11">
        <f t="shared" si="0"/>
        <v>67.997552307299998</v>
      </c>
      <c r="E63" s="11">
        <f t="shared" si="1"/>
        <v>0.33641023270000403</v>
      </c>
      <c r="F63" s="11">
        <f t="shared" si="2"/>
        <v>0.11317184466527086</v>
      </c>
    </row>
    <row r="64" spans="1:6">
      <c r="A64" s="11">
        <v>63</v>
      </c>
      <c r="B64" s="12">
        <v>43893</v>
      </c>
      <c r="C64" s="11">
        <v>69.847547739999996</v>
      </c>
      <c r="D64" s="11">
        <f t="shared" si="0"/>
        <v>67.650622914600007</v>
      </c>
      <c r="E64" s="11">
        <f t="shared" si="1"/>
        <v>2.1969248253999893</v>
      </c>
      <c r="F64" s="11">
        <f t="shared" si="2"/>
        <v>4.8264786884587734</v>
      </c>
    </row>
    <row r="65" spans="1:6">
      <c r="A65" s="11">
        <v>64</v>
      </c>
      <c r="B65" s="12">
        <v>43894</v>
      </c>
      <c r="C65" s="11">
        <v>70.506236029999997</v>
      </c>
      <c r="D65" s="11">
        <f t="shared" si="0"/>
        <v>69.149072262600001</v>
      </c>
      <c r="E65" s="11">
        <f t="shared" si="1"/>
        <v>1.3571637673999959</v>
      </c>
      <c r="F65" s="11">
        <f t="shared" si="2"/>
        <v>1.8418934915433502</v>
      </c>
    </row>
    <row r="66" spans="1:6">
      <c r="A66" s="11">
        <v>65</v>
      </c>
      <c r="B66" s="12">
        <v>43895</v>
      </c>
      <c r="C66" s="11">
        <v>69.901311930000006</v>
      </c>
      <c r="D66" s="11">
        <f t="shared" si="0"/>
        <v>69.801173669699992</v>
      </c>
      <c r="E66" s="11">
        <f t="shared" si="1"/>
        <v>0.10013826030001383</v>
      </c>
      <c r="F66" s="11">
        <f t="shared" si="2"/>
        <v>1.0027671175913326E-2</v>
      </c>
    </row>
    <row r="67" spans="1:6">
      <c r="A67" s="11">
        <v>66</v>
      </c>
      <c r="B67" s="12">
        <v>43896</v>
      </c>
      <c r="C67" s="11">
        <v>69.139578420000007</v>
      </c>
      <c r="D67" s="11">
        <f t="shared" ref="D67:D130" si="3">0.99 * C66</f>
        <v>69.2022988107</v>
      </c>
      <c r="E67" s="11">
        <f t="shared" ref="E67:E130" si="4">C67-D67</f>
        <v>-6.27203906999938E-2</v>
      </c>
      <c r="F67" s="11">
        <f t="shared" ref="F67:F130" si="5">E67^2</f>
        <v>3.9338474095598685E-3</v>
      </c>
    </row>
    <row r="68" spans="1:6">
      <c r="A68" s="11">
        <v>67</v>
      </c>
      <c r="B68" s="12">
        <v>43897</v>
      </c>
      <c r="C68" s="11">
        <v>69.489930369999996</v>
      </c>
      <c r="D68" s="11">
        <f t="shared" si="3"/>
        <v>68.448182635800009</v>
      </c>
      <c r="E68" s="11">
        <f t="shared" si="4"/>
        <v>1.041747734199987</v>
      </c>
      <c r="F68" s="11">
        <f t="shared" si="5"/>
        <v>1.0852383417108067</v>
      </c>
    </row>
    <row r="69" spans="1:6">
      <c r="A69" s="11">
        <v>68</v>
      </c>
      <c r="B69" s="12">
        <v>43898</v>
      </c>
      <c r="C69" s="11">
        <v>71.031279420000004</v>
      </c>
      <c r="D69" s="11">
        <f t="shared" si="3"/>
        <v>68.795031066299998</v>
      </c>
      <c r="E69" s="11">
        <f t="shared" si="4"/>
        <v>2.236248353700006</v>
      </c>
      <c r="F69" s="11">
        <f t="shared" si="5"/>
        <v>5.0008066994259872</v>
      </c>
    </row>
    <row r="70" spans="1:6">
      <c r="A70" s="11">
        <v>69</v>
      </c>
      <c r="B70" s="12">
        <v>43899</v>
      </c>
      <c r="C70" s="11">
        <v>68.767572830000006</v>
      </c>
      <c r="D70" s="11">
        <f t="shared" si="3"/>
        <v>70.320966625799997</v>
      </c>
      <c r="E70" s="11">
        <f t="shared" si="4"/>
        <v>-1.553393795799991</v>
      </c>
      <c r="F70" s="11">
        <f t="shared" si="5"/>
        <v>2.4130322848299044</v>
      </c>
    </row>
    <row r="71" spans="1:6">
      <c r="A71" s="11">
        <v>70</v>
      </c>
      <c r="B71" s="12">
        <v>43900</v>
      </c>
      <c r="C71" s="11">
        <v>69.328036389999994</v>
      </c>
      <c r="D71" s="11">
        <f t="shared" si="3"/>
        <v>68.079897101699999</v>
      </c>
      <c r="E71" s="11">
        <f t="shared" si="4"/>
        <v>1.2481392882999955</v>
      </c>
      <c r="F71" s="11">
        <f t="shared" si="5"/>
        <v>1.5578516829980193</v>
      </c>
    </row>
    <row r="72" spans="1:6">
      <c r="A72" s="11">
        <v>71</v>
      </c>
      <c r="B72" s="12">
        <v>43901</v>
      </c>
      <c r="C72" s="11">
        <v>69.420838009999997</v>
      </c>
      <c r="D72" s="11">
        <f t="shared" si="3"/>
        <v>68.634756026099993</v>
      </c>
      <c r="E72" s="11">
        <f t="shared" si="4"/>
        <v>0.78608198390000439</v>
      </c>
      <c r="F72" s="11">
        <f t="shared" si="5"/>
        <v>0.61792488541216672</v>
      </c>
    </row>
    <row r="73" spans="1:6">
      <c r="A73" s="11">
        <v>72</v>
      </c>
      <c r="B73" s="12">
        <v>43902</v>
      </c>
      <c r="C73" s="11">
        <v>67.969506050000007</v>
      </c>
      <c r="D73" s="11">
        <f t="shared" si="3"/>
        <v>68.726629629900003</v>
      </c>
      <c r="E73" s="11">
        <f t="shared" si="4"/>
        <v>-0.75712357989999646</v>
      </c>
      <c r="F73" s="11">
        <f t="shared" si="5"/>
        <v>0.57323611524058637</v>
      </c>
    </row>
    <row r="74" spans="1:6">
      <c r="A74" s="11">
        <v>73</v>
      </c>
      <c r="B74" s="12">
        <v>43903</v>
      </c>
      <c r="C74" s="11">
        <v>67.009749139999997</v>
      </c>
      <c r="D74" s="11">
        <f t="shared" si="3"/>
        <v>67.289810989500012</v>
      </c>
      <c r="E74" s="11">
        <f t="shared" si="4"/>
        <v>-0.28006184950001511</v>
      </c>
      <c r="F74" s="11">
        <f t="shared" si="5"/>
        <v>7.8434639545369111E-2</v>
      </c>
    </row>
    <row r="75" spans="1:6">
      <c r="A75" s="11">
        <v>74</v>
      </c>
      <c r="B75" s="12">
        <v>43904</v>
      </c>
      <c r="C75" s="11">
        <v>67.902214180000001</v>
      </c>
      <c r="D75" s="11">
        <f t="shared" si="3"/>
        <v>66.339651648599997</v>
      </c>
      <c r="E75" s="11">
        <f t="shared" si="4"/>
        <v>1.5625625314000047</v>
      </c>
      <c r="F75" s="11">
        <f t="shared" si="5"/>
        <v>2.4416016645351908</v>
      </c>
    </row>
    <row r="76" spans="1:6">
      <c r="A76" s="11">
        <v>75</v>
      </c>
      <c r="B76" s="12">
        <v>43905</v>
      </c>
      <c r="C76" s="11">
        <v>69.857913319999994</v>
      </c>
      <c r="D76" s="11">
        <f t="shared" si="3"/>
        <v>67.223192038199997</v>
      </c>
      <c r="E76" s="11">
        <f t="shared" si="4"/>
        <v>2.6347212817999974</v>
      </c>
      <c r="F76" s="11">
        <f t="shared" si="5"/>
        <v>6.9417562327698219</v>
      </c>
    </row>
    <row r="77" spans="1:6">
      <c r="A77" s="11">
        <v>76</v>
      </c>
      <c r="B77" s="12">
        <v>43906</v>
      </c>
      <c r="C77" s="11">
        <v>70.937146670000004</v>
      </c>
      <c r="D77" s="11">
        <f t="shared" si="3"/>
        <v>69.159334186799995</v>
      </c>
      <c r="E77" s="11">
        <f t="shared" si="4"/>
        <v>1.7778124832000088</v>
      </c>
      <c r="F77" s="11">
        <f t="shared" si="5"/>
        <v>3.1606172254217819</v>
      </c>
    </row>
    <row r="78" spans="1:6">
      <c r="A78" s="11">
        <v>77</v>
      </c>
      <c r="B78" s="12">
        <v>43907</v>
      </c>
      <c r="C78" s="11">
        <v>69.665932440000006</v>
      </c>
      <c r="D78" s="11">
        <f t="shared" si="3"/>
        <v>70.227775203299998</v>
      </c>
      <c r="E78" s="11">
        <f t="shared" si="4"/>
        <v>-0.5618427632999925</v>
      </c>
      <c r="F78" s="11">
        <f t="shared" si="5"/>
        <v>0.31566729067257138</v>
      </c>
    </row>
    <row r="79" spans="1:6">
      <c r="A79" s="11">
        <v>78</v>
      </c>
      <c r="B79" s="12">
        <v>43908</v>
      </c>
      <c r="C79" s="11">
        <v>70.535436450000006</v>
      </c>
      <c r="D79" s="11">
        <f t="shared" si="3"/>
        <v>68.969273115600004</v>
      </c>
      <c r="E79" s="11">
        <f t="shared" si="4"/>
        <v>1.5661633344000023</v>
      </c>
      <c r="F79" s="11">
        <f t="shared" si="5"/>
        <v>2.4528675900189336</v>
      </c>
    </row>
    <row r="80" spans="1:6">
      <c r="A80" s="11">
        <v>79</v>
      </c>
      <c r="B80" s="12">
        <v>43909</v>
      </c>
      <c r="C80" s="11">
        <v>71.844465639999996</v>
      </c>
      <c r="D80" s="11">
        <f t="shared" si="3"/>
        <v>69.83008208550001</v>
      </c>
      <c r="E80" s="11">
        <f t="shared" si="4"/>
        <v>2.014383554499986</v>
      </c>
      <c r="F80" s="11">
        <f t="shared" si="5"/>
        <v>4.057741104639998</v>
      </c>
    </row>
    <row r="81" spans="1:6">
      <c r="A81" s="11">
        <v>80</v>
      </c>
      <c r="B81" s="12">
        <v>43910</v>
      </c>
      <c r="C81" s="11">
        <v>71.342135029999994</v>
      </c>
      <c r="D81" s="11">
        <f t="shared" si="3"/>
        <v>71.1260209836</v>
      </c>
      <c r="E81" s="11">
        <f t="shared" si="4"/>
        <v>0.21611404639999421</v>
      </c>
      <c r="F81" s="11">
        <f t="shared" si="5"/>
        <v>4.6705281051378847E-2</v>
      </c>
    </row>
    <row r="82" spans="1:6">
      <c r="A82" s="11">
        <v>81</v>
      </c>
      <c r="B82" s="12">
        <v>43911</v>
      </c>
      <c r="C82" s="11">
        <v>69.66053866</v>
      </c>
      <c r="D82" s="11">
        <f t="shared" si="3"/>
        <v>70.628713679699999</v>
      </c>
      <c r="E82" s="11">
        <f t="shared" si="4"/>
        <v>-0.96817501969999853</v>
      </c>
      <c r="F82" s="11">
        <f t="shared" si="5"/>
        <v>0.93736286877109254</v>
      </c>
    </row>
    <row r="83" spans="1:6">
      <c r="A83" s="11">
        <v>82</v>
      </c>
      <c r="B83" s="12">
        <v>43912</v>
      </c>
      <c r="C83" s="11">
        <v>70.518101869999995</v>
      </c>
      <c r="D83" s="11">
        <f t="shared" si="3"/>
        <v>68.963933273400002</v>
      </c>
      <c r="E83" s="11">
        <f t="shared" si="4"/>
        <v>1.5541685965999932</v>
      </c>
      <c r="F83" s="11">
        <f t="shared" si="5"/>
        <v>2.4154400266575924</v>
      </c>
    </row>
    <row r="84" spans="1:6">
      <c r="A84" s="11">
        <v>83</v>
      </c>
      <c r="B84" s="12">
        <v>43913</v>
      </c>
      <c r="C84" s="11">
        <v>71.168095219999998</v>
      </c>
      <c r="D84" s="11">
        <f t="shared" si="3"/>
        <v>69.812920851299992</v>
      </c>
      <c r="E84" s="11">
        <f t="shared" si="4"/>
        <v>1.3551743687000055</v>
      </c>
      <c r="F84" s="11">
        <f t="shared" si="5"/>
        <v>1.8364975695814585</v>
      </c>
    </row>
    <row r="85" spans="1:6">
      <c r="A85" s="11">
        <v>84</v>
      </c>
      <c r="B85" s="12">
        <v>43914</v>
      </c>
      <c r="C85" s="11">
        <v>71.412833980000002</v>
      </c>
      <c r="D85" s="11">
        <f t="shared" si="3"/>
        <v>70.4564142678</v>
      </c>
      <c r="E85" s="11">
        <f t="shared" si="4"/>
        <v>0.95641971220000244</v>
      </c>
      <c r="F85" s="11">
        <f t="shared" si="5"/>
        <v>0.91473866588473551</v>
      </c>
    </row>
    <row r="86" spans="1:6">
      <c r="A86" s="11">
        <v>85</v>
      </c>
      <c r="B86" s="12">
        <v>43915</v>
      </c>
      <c r="C86" s="11">
        <v>69.840808150000001</v>
      </c>
      <c r="D86" s="11">
        <f t="shared" si="3"/>
        <v>70.698705640200004</v>
      </c>
      <c r="E86" s="11">
        <f t="shared" si="4"/>
        <v>-0.85789749020000272</v>
      </c>
      <c r="F86" s="11">
        <f t="shared" si="5"/>
        <v>0.73598810369146372</v>
      </c>
    </row>
    <row r="87" spans="1:6">
      <c r="A87" s="11">
        <v>86</v>
      </c>
      <c r="B87" s="12">
        <v>43916</v>
      </c>
      <c r="C87" s="11">
        <v>66.646080190000006</v>
      </c>
      <c r="D87" s="11">
        <f t="shared" si="3"/>
        <v>69.142400068499995</v>
      </c>
      <c r="E87" s="11">
        <f t="shared" si="4"/>
        <v>-2.4963198784999889</v>
      </c>
      <c r="F87" s="11">
        <f t="shared" si="5"/>
        <v>6.2316129357941996</v>
      </c>
    </row>
    <row r="88" spans="1:6">
      <c r="A88" s="11">
        <v>87</v>
      </c>
      <c r="B88" s="12">
        <v>43917</v>
      </c>
      <c r="C88" s="11">
        <v>70.152196689999997</v>
      </c>
      <c r="D88" s="11">
        <f t="shared" si="3"/>
        <v>65.979619388100005</v>
      </c>
      <c r="E88" s="11">
        <f t="shared" si="4"/>
        <v>4.1725773018999917</v>
      </c>
      <c r="F88" s="11">
        <f t="shared" si="5"/>
        <v>17.410401340331013</v>
      </c>
    </row>
    <row r="89" spans="1:6">
      <c r="A89" s="11">
        <v>88</v>
      </c>
      <c r="B89" s="12">
        <v>43918</v>
      </c>
      <c r="C89" s="11">
        <v>69.486615549999996</v>
      </c>
      <c r="D89" s="11">
        <f t="shared" si="3"/>
        <v>69.450674723099993</v>
      </c>
      <c r="E89" s="11">
        <f t="shared" si="4"/>
        <v>3.5940826900002776E-2</v>
      </c>
      <c r="F89" s="11">
        <f t="shared" si="5"/>
        <v>1.2917430382559632E-3</v>
      </c>
    </row>
    <row r="90" spans="1:6">
      <c r="A90" s="11">
        <v>89</v>
      </c>
      <c r="B90" s="12">
        <v>43919</v>
      </c>
      <c r="C90" s="11">
        <v>69.610542249999995</v>
      </c>
      <c r="D90" s="11">
        <f t="shared" si="3"/>
        <v>68.791749394500002</v>
      </c>
      <c r="E90" s="11">
        <f t="shared" si="4"/>
        <v>0.81879285549999281</v>
      </c>
      <c r="F90" s="11">
        <f t="shared" si="5"/>
        <v>0.67042174021783207</v>
      </c>
    </row>
    <row r="91" spans="1:6">
      <c r="A91" s="11">
        <v>90</v>
      </c>
      <c r="B91" s="12">
        <v>43920</v>
      </c>
      <c r="C91" s="11">
        <v>72.301086040000001</v>
      </c>
      <c r="D91" s="11">
        <f t="shared" si="3"/>
        <v>68.914436827499998</v>
      </c>
      <c r="E91" s="11">
        <f t="shared" si="4"/>
        <v>3.3866492125000036</v>
      </c>
      <c r="F91" s="11">
        <f t="shared" si="5"/>
        <v>11.469392888526894</v>
      </c>
    </row>
    <row r="92" spans="1:6">
      <c r="A92" s="11">
        <v>91</v>
      </c>
      <c r="B92" s="12">
        <v>43921</v>
      </c>
      <c r="C92" s="11">
        <v>71.828065699999996</v>
      </c>
      <c r="D92" s="11">
        <f t="shared" si="3"/>
        <v>71.578075179600006</v>
      </c>
      <c r="E92" s="11">
        <f t="shared" si="4"/>
        <v>0.24999052039999015</v>
      </c>
      <c r="F92" s="11">
        <f t="shared" si="5"/>
        <v>6.2495260289857892E-2</v>
      </c>
    </row>
    <row r="93" spans="1:6">
      <c r="A93" s="11">
        <v>92</v>
      </c>
      <c r="B93" s="12">
        <v>43922</v>
      </c>
      <c r="C93" s="11">
        <v>71.355760079999996</v>
      </c>
      <c r="D93" s="11">
        <f t="shared" si="3"/>
        <v>71.109785043000002</v>
      </c>
      <c r="E93" s="11">
        <f t="shared" si="4"/>
        <v>0.24597503699999379</v>
      </c>
      <c r="F93" s="11">
        <f t="shared" si="5"/>
        <v>6.0503718827148313E-2</v>
      </c>
    </row>
    <row r="94" spans="1:6">
      <c r="A94" s="11">
        <v>93</v>
      </c>
      <c r="B94" s="12">
        <v>43923</v>
      </c>
      <c r="C94" s="11">
        <v>68.762639770000007</v>
      </c>
      <c r="D94" s="11">
        <f t="shared" si="3"/>
        <v>70.642202479199995</v>
      </c>
      <c r="E94" s="11">
        <f t="shared" si="4"/>
        <v>-1.8795627091999876</v>
      </c>
      <c r="F94" s="11">
        <f t="shared" si="5"/>
        <v>3.5327559778151971</v>
      </c>
    </row>
    <row r="95" spans="1:6">
      <c r="A95" s="11">
        <v>94</v>
      </c>
      <c r="B95" s="12">
        <v>43924</v>
      </c>
      <c r="C95" s="11">
        <v>67.073188880000004</v>
      </c>
      <c r="D95" s="11">
        <f t="shared" si="3"/>
        <v>68.075013372300006</v>
      </c>
      <c r="E95" s="11">
        <f t="shared" si="4"/>
        <v>-1.0018244923000026</v>
      </c>
      <c r="F95" s="11">
        <f t="shared" si="5"/>
        <v>1.003652313372158</v>
      </c>
    </row>
    <row r="96" spans="1:6">
      <c r="A96" s="11">
        <v>95</v>
      </c>
      <c r="B96" s="12">
        <v>43925</v>
      </c>
      <c r="C96" s="11">
        <v>68.082418610000005</v>
      </c>
      <c r="D96" s="11">
        <f t="shared" si="3"/>
        <v>66.402456991199998</v>
      </c>
      <c r="E96" s="11">
        <f t="shared" si="4"/>
        <v>1.6799616188000073</v>
      </c>
      <c r="F96" s="11">
        <f t="shared" si="5"/>
        <v>2.8222710406411409</v>
      </c>
    </row>
    <row r="97" spans="1:6">
      <c r="A97" s="11">
        <v>96</v>
      </c>
      <c r="B97" s="12">
        <v>43926</v>
      </c>
      <c r="C97" s="11">
        <v>70.818244230000005</v>
      </c>
      <c r="D97" s="11">
        <f t="shared" si="3"/>
        <v>67.401594423900008</v>
      </c>
      <c r="E97" s="11">
        <f t="shared" si="4"/>
        <v>3.416649806099997</v>
      </c>
      <c r="F97" s="11">
        <f t="shared" si="5"/>
        <v>11.673495897523146</v>
      </c>
    </row>
    <row r="98" spans="1:6">
      <c r="A98" s="11">
        <v>97</v>
      </c>
      <c r="B98" s="12">
        <v>43927</v>
      </c>
      <c r="C98" s="11">
        <v>70.719971509999993</v>
      </c>
      <c r="D98" s="11">
        <f t="shared" si="3"/>
        <v>70.110061787700005</v>
      </c>
      <c r="E98" s="11">
        <f t="shared" si="4"/>
        <v>0.60990972229998874</v>
      </c>
      <c r="F98" s="11">
        <f t="shared" si="5"/>
        <v>0.37198986935604939</v>
      </c>
    </row>
    <row r="99" spans="1:6">
      <c r="A99" s="11">
        <v>98</v>
      </c>
      <c r="B99" s="12">
        <v>43928</v>
      </c>
      <c r="C99" s="11">
        <v>69.391873320000002</v>
      </c>
      <c r="D99" s="11">
        <f t="shared" si="3"/>
        <v>70.01277179489999</v>
      </c>
      <c r="E99" s="11">
        <f t="shared" si="4"/>
        <v>-0.62089847489998817</v>
      </c>
      <c r="F99" s="11">
        <f t="shared" si="5"/>
        <v>0.38551491613313127</v>
      </c>
    </row>
    <row r="100" spans="1:6">
      <c r="A100" s="11">
        <v>99</v>
      </c>
      <c r="B100" s="12">
        <v>43929</v>
      </c>
      <c r="C100" s="11">
        <v>69.617099830000001</v>
      </c>
      <c r="D100" s="11">
        <f t="shared" si="3"/>
        <v>68.697954586799995</v>
      </c>
      <c r="E100" s="11">
        <f t="shared" si="4"/>
        <v>0.91914524320000623</v>
      </c>
      <c r="F100" s="11">
        <f t="shared" si="5"/>
        <v>0.84482797809719856</v>
      </c>
    </row>
    <row r="101" spans="1:6">
      <c r="A101" s="11">
        <v>100</v>
      </c>
      <c r="B101" s="12">
        <v>43930</v>
      </c>
      <c r="C101" s="11">
        <v>71.034633119999995</v>
      </c>
      <c r="D101" s="11">
        <f t="shared" si="3"/>
        <v>68.920928831699996</v>
      </c>
      <c r="E101" s="11">
        <f t="shared" si="4"/>
        <v>2.1137042882999992</v>
      </c>
      <c r="F101" s="11">
        <f t="shared" si="5"/>
        <v>4.4677458183778063</v>
      </c>
    </row>
    <row r="102" spans="1:6">
      <c r="A102" s="11">
        <v>101</v>
      </c>
      <c r="B102" s="12">
        <v>43931</v>
      </c>
      <c r="C102" s="11">
        <v>69.290709719999995</v>
      </c>
      <c r="D102" s="11">
        <f t="shared" si="3"/>
        <v>70.324286788799995</v>
      </c>
      <c r="E102" s="11">
        <f t="shared" si="4"/>
        <v>-1.0335770687999997</v>
      </c>
      <c r="F102" s="11">
        <f t="shared" si="5"/>
        <v>1.0682815571491993</v>
      </c>
    </row>
    <row r="103" spans="1:6">
      <c r="A103" s="11">
        <v>102</v>
      </c>
      <c r="B103" s="12">
        <v>43932</v>
      </c>
      <c r="C103" s="11">
        <v>68.053492899999995</v>
      </c>
      <c r="D103" s="11">
        <f t="shared" si="3"/>
        <v>68.597802622799989</v>
      </c>
      <c r="E103" s="11">
        <f t="shared" si="4"/>
        <v>-0.54430972279999423</v>
      </c>
      <c r="F103" s="11">
        <f t="shared" si="5"/>
        <v>0.29627307433460659</v>
      </c>
    </row>
    <row r="104" spans="1:6">
      <c r="A104" s="11">
        <v>103</v>
      </c>
      <c r="B104" s="12">
        <v>43933</v>
      </c>
      <c r="C104" s="11">
        <v>68.25621357</v>
      </c>
      <c r="D104" s="11">
        <f t="shared" si="3"/>
        <v>67.372957970999991</v>
      </c>
      <c r="E104" s="11">
        <f t="shared" si="4"/>
        <v>0.88325559900000883</v>
      </c>
      <c r="F104" s="11">
        <f t="shared" si="5"/>
        <v>0.78014045316486436</v>
      </c>
    </row>
    <row r="105" spans="1:6">
      <c r="A105" s="11">
        <v>104</v>
      </c>
      <c r="B105" s="12">
        <v>43934</v>
      </c>
      <c r="C105" s="11">
        <v>70.632318650000002</v>
      </c>
      <c r="D105" s="11">
        <f t="shared" si="3"/>
        <v>67.573651434300004</v>
      </c>
      <c r="E105" s="11">
        <f t="shared" si="4"/>
        <v>3.0586672156999981</v>
      </c>
      <c r="F105" s="11">
        <f t="shared" si="5"/>
        <v>9.3554451363979787</v>
      </c>
    </row>
    <row r="106" spans="1:6">
      <c r="A106" s="11">
        <v>105</v>
      </c>
      <c r="B106" s="12">
        <v>43935</v>
      </c>
      <c r="C106" s="11">
        <v>71.137348639999999</v>
      </c>
      <c r="D106" s="11">
        <f t="shared" si="3"/>
        <v>69.925995463500001</v>
      </c>
      <c r="E106" s="11">
        <f t="shared" si="4"/>
        <v>1.2113531764999976</v>
      </c>
      <c r="F106" s="11">
        <f t="shared" si="5"/>
        <v>1.4673765182166345</v>
      </c>
    </row>
    <row r="107" spans="1:6">
      <c r="A107" s="11">
        <v>106</v>
      </c>
      <c r="B107" s="12">
        <v>43936</v>
      </c>
      <c r="C107" s="11">
        <v>72.624866999999995</v>
      </c>
      <c r="D107" s="11">
        <f t="shared" si="3"/>
        <v>70.425975153599992</v>
      </c>
      <c r="E107" s="11">
        <f t="shared" si="4"/>
        <v>2.1988918464000022</v>
      </c>
      <c r="F107" s="11">
        <f t="shared" si="5"/>
        <v>4.8351253521644111</v>
      </c>
    </row>
    <row r="108" spans="1:6">
      <c r="A108" s="11">
        <v>107</v>
      </c>
      <c r="B108" s="12">
        <v>43937</v>
      </c>
      <c r="C108" s="11">
        <v>72.170161329999999</v>
      </c>
      <c r="D108" s="11">
        <f t="shared" si="3"/>
        <v>71.898618329999991</v>
      </c>
      <c r="E108" s="11">
        <f t="shared" si="4"/>
        <v>0.27154300000000831</v>
      </c>
      <c r="F108" s="11">
        <f t="shared" si="5"/>
        <v>7.3735600849004504E-2</v>
      </c>
    </row>
    <row r="109" spans="1:6">
      <c r="A109" s="11">
        <v>108</v>
      </c>
      <c r="B109" s="12">
        <v>43938</v>
      </c>
      <c r="C109" s="11">
        <v>70.479541519999998</v>
      </c>
      <c r="D109" s="11">
        <f t="shared" si="3"/>
        <v>71.4484597167</v>
      </c>
      <c r="E109" s="11">
        <f t="shared" si="4"/>
        <v>-0.96891819670000245</v>
      </c>
      <c r="F109" s="11">
        <f t="shared" si="5"/>
        <v>0.93880247189638466</v>
      </c>
    </row>
    <row r="110" spans="1:6">
      <c r="A110" s="11">
        <v>109</v>
      </c>
      <c r="B110" s="12">
        <v>43939</v>
      </c>
      <c r="C110" s="11">
        <v>70.901754350000004</v>
      </c>
      <c r="D110" s="11">
        <f t="shared" si="3"/>
        <v>69.774746104800002</v>
      </c>
      <c r="E110" s="11">
        <f t="shared" si="4"/>
        <v>1.1270082452000025</v>
      </c>
      <c r="F110" s="11">
        <f t="shared" si="5"/>
        <v>1.2701475847487891</v>
      </c>
    </row>
    <row r="111" spans="1:6">
      <c r="A111" s="11">
        <v>110</v>
      </c>
      <c r="B111" s="12">
        <v>43940</v>
      </c>
      <c r="C111" s="11">
        <v>70.608687169999996</v>
      </c>
      <c r="D111" s="11">
        <f t="shared" si="3"/>
        <v>70.192736806500008</v>
      </c>
      <c r="E111" s="11">
        <f t="shared" si="4"/>
        <v>0.41595036349998793</v>
      </c>
      <c r="F111" s="11">
        <f t="shared" si="5"/>
        <v>0.17301470489577209</v>
      </c>
    </row>
    <row r="112" spans="1:6">
      <c r="A112" s="11">
        <v>111</v>
      </c>
      <c r="B112" s="12">
        <v>43941</v>
      </c>
      <c r="C112" s="11">
        <v>69.389764639999996</v>
      </c>
      <c r="D112" s="11">
        <f t="shared" si="3"/>
        <v>69.902600298300001</v>
      </c>
      <c r="E112" s="11">
        <f t="shared" si="4"/>
        <v>-0.51283565830000555</v>
      </c>
      <c r="F112" s="11">
        <f t="shared" si="5"/>
        <v>0.26300041242400007</v>
      </c>
    </row>
    <row r="113" spans="1:6">
      <c r="A113" s="11">
        <v>112</v>
      </c>
      <c r="B113" s="12">
        <v>43942</v>
      </c>
      <c r="C113" s="11">
        <v>70.131227480000007</v>
      </c>
      <c r="D113" s="11">
        <f t="shared" si="3"/>
        <v>68.695866993599992</v>
      </c>
      <c r="E113" s="11">
        <f t="shared" si="4"/>
        <v>1.4353604864000147</v>
      </c>
      <c r="F113" s="11">
        <f t="shared" si="5"/>
        <v>2.0602597259184869</v>
      </c>
    </row>
    <row r="114" spans="1:6">
      <c r="A114" s="11">
        <v>113</v>
      </c>
      <c r="B114" s="12">
        <v>43943</v>
      </c>
      <c r="C114" s="11">
        <v>69.565480440000002</v>
      </c>
      <c r="D114" s="11">
        <f t="shared" si="3"/>
        <v>69.429915205200004</v>
      </c>
      <c r="E114" s="11">
        <f t="shared" si="4"/>
        <v>0.13556523479999782</v>
      </c>
      <c r="F114" s="11">
        <f t="shared" si="5"/>
        <v>1.837793288637854E-2</v>
      </c>
    </row>
    <row r="115" spans="1:6">
      <c r="A115" s="11">
        <v>114</v>
      </c>
      <c r="B115" s="12">
        <v>43944</v>
      </c>
      <c r="C115" s="11">
        <v>69.409522920000001</v>
      </c>
      <c r="D115" s="11">
        <f t="shared" si="3"/>
        <v>68.869825635599994</v>
      </c>
      <c r="E115" s="11">
        <f t="shared" si="4"/>
        <v>0.53969728440000608</v>
      </c>
      <c r="F115" s="11">
        <f t="shared" si="5"/>
        <v>0.29127315878874105</v>
      </c>
    </row>
    <row r="116" spans="1:6">
      <c r="A116" s="11">
        <v>115</v>
      </c>
      <c r="B116" s="12">
        <v>43945</v>
      </c>
      <c r="C116" s="11">
        <v>71.103852320000001</v>
      </c>
      <c r="D116" s="11">
        <f t="shared" si="3"/>
        <v>68.715427690799999</v>
      </c>
      <c r="E116" s="11">
        <f t="shared" si="4"/>
        <v>2.3884246292000029</v>
      </c>
      <c r="F116" s="11">
        <f t="shared" si="5"/>
        <v>5.7045722093691715</v>
      </c>
    </row>
    <row r="117" spans="1:6">
      <c r="A117" s="11">
        <v>116</v>
      </c>
      <c r="B117" s="12">
        <v>43946</v>
      </c>
      <c r="C117" s="11">
        <v>70.738173029999999</v>
      </c>
      <c r="D117" s="11">
        <f t="shared" si="3"/>
        <v>70.392813796799999</v>
      </c>
      <c r="E117" s="11">
        <f t="shared" si="4"/>
        <v>0.34535923319999995</v>
      </c>
      <c r="F117" s="11">
        <f t="shared" si="5"/>
        <v>0.11927299995649195</v>
      </c>
    </row>
    <row r="118" spans="1:6">
      <c r="A118" s="11">
        <v>117</v>
      </c>
      <c r="B118" s="12">
        <v>43947</v>
      </c>
      <c r="C118" s="11">
        <v>69.308606729999994</v>
      </c>
      <c r="D118" s="11">
        <f t="shared" si="3"/>
        <v>70.030791299699999</v>
      </c>
      <c r="E118" s="11">
        <f t="shared" si="4"/>
        <v>-0.72218456970000489</v>
      </c>
      <c r="F118" s="11">
        <f t="shared" si="5"/>
        <v>0.52155055271278117</v>
      </c>
    </row>
    <row r="119" spans="1:6">
      <c r="A119" s="11">
        <v>118</v>
      </c>
      <c r="B119" s="12">
        <v>43948</v>
      </c>
      <c r="C119" s="11">
        <v>68.899374440000003</v>
      </c>
      <c r="D119" s="11">
        <f t="shared" si="3"/>
        <v>68.615520662699993</v>
      </c>
      <c r="E119" s="11">
        <f t="shared" si="4"/>
        <v>0.28385377730000982</v>
      </c>
      <c r="F119" s="11">
        <f t="shared" si="5"/>
        <v>8.0572966887483569E-2</v>
      </c>
    </row>
    <row r="120" spans="1:6">
      <c r="A120" s="11">
        <v>119</v>
      </c>
      <c r="B120" s="12">
        <v>43949</v>
      </c>
      <c r="C120" s="11">
        <v>70.568833229999996</v>
      </c>
      <c r="D120" s="11">
        <f t="shared" si="3"/>
        <v>68.210380695600008</v>
      </c>
      <c r="E120" s="11">
        <f t="shared" si="4"/>
        <v>2.3584525343999871</v>
      </c>
      <c r="F120" s="11">
        <f t="shared" si="5"/>
        <v>5.5622983570177222</v>
      </c>
    </row>
    <row r="121" spans="1:6">
      <c r="A121" s="11">
        <v>120</v>
      </c>
      <c r="B121" s="12">
        <v>43950</v>
      </c>
      <c r="C121" s="11">
        <v>70.118946930000007</v>
      </c>
      <c r="D121" s="11">
        <f t="shared" si="3"/>
        <v>69.863144897699996</v>
      </c>
      <c r="E121" s="11">
        <f t="shared" si="4"/>
        <v>0.25580203230001075</v>
      </c>
      <c r="F121" s="11">
        <f t="shared" si="5"/>
        <v>6.5434679728815739E-2</v>
      </c>
    </row>
    <row r="122" spans="1:6">
      <c r="A122" s="11">
        <v>121</v>
      </c>
      <c r="B122" s="12">
        <v>43951</v>
      </c>
      <c r="C122" s="11">
        <v>69.513847339999998</v>
      </c>
      <c r="D122" s="11">
        <f t="shared" si="3"/>
        <v>69.417757460700003</v>
      </c>
      <c r="E122" s="11">
        <f t="shared" si="4"/>
        <v>9.6089879299995573E-2</v>
      </c>
      <c r="F122" s="11">
        <f t="shared" si="5"/>
        <v>9.2332649038877179E-3</v>
      </c>
    </row>
    <row r="123" spans="1:6">
      <c r="A123" s="11">
        <v>122</v>
      </c>
      <c r="B123" s="12">
        <v>43952</v>
      </c>
      <c r="C123" s="11">
        <v>69.162331589999994</v>
      </c>
      <c r="D123" s="11">
        <f t="shared" si="3"/>
        <v>68.818708866599991</v>
      </c>
      <c r="E123" s="11">
        <f t="shared" si="4"/>
        <v>0.34362272340000288</v>
      </c>
      <c r="F123" s="11">
        <f t="shared" si="5"/>
        <v>0.11807657603683488</v>
      </c>
    </row>
    <row r="124" spans="1:6">
      <c r="A124" s="11">
        <v>123</v>
      </c>
      <c r="B124" s="12">
        <v>43953</v>
      </c>
      <c r="C124" s="11">
        <v>69.827170240000001</v>
      </c>
      <c r="D124" s="11">
        <f t="shared" si="3"/>
        <v>68.470708274099991</v>
      </c>
      <c r="E124" s="11">
        <f t="shared" si="4"/>
        <v>1.3564619659000101</v>
      </c>
      <c r="F124" s="11">
        <f t="shared" si="5"/>
        <v>1.8399890649333202</v>
      </c>
    </row>
    <row r="125" spans="1:6">
      <c r="A125" s="11">
        <v>124</v>
      </c>
      <c r="B125" s="12">
        <v>43954</v>
      </c>
      <c r="C125" s="11">
        <v>69.762112909999999</v>
      </c>
      <c r="D125" s="11">
        <f t="shared" si="3"/>
        <v>69.128898537599994</v>
      </c>
      <c r="E125" s="11">
        <f t="shared" si="4"/>
        <v>0.63321437240000478</v>
      </c>
      <c r="F125" s="11">
        <f t="shared" si="5"/>
        <v>0.40096044141393195</v>
      </c>
    </row>
    <row r="126" spans="1:6">
      <c r="A126" s="11">
        <v>125</v>
      </c>
      <c r="B126" s="12">
        <v>43955</v>
      </c>
      <c r="C126" s="11">
        <v>68.30728062</v>
      </c>
      <c r="D126" s="11">
        <f t="shared" si="3"/>
        <v>69.064491780899999</v>
      </c>
      <c r="E126" s="11">
        <f t="shared" si="4"/>
        <v>-0.75721116089999896</v>
      </c>
      <c r="F126" s="11">
        <f t="shared" si="5"/>
        <v>0.57336874219152412</v>
      </c>
    </row>
    <row r="127" spans="1:6">
      <c r="A127" s="11">
        <v>126</v>
      </c>
      <c r="B127" s="12">
        <v>43956</v>
      </c>
      <c r="C127" s="11">
        <v>68.168553560000007</v>
      </c>
      <c r="D127" s="11">
        <f t="shared" si="3"/>
        <v>67.624207813799998</v>
      </c>
      <c r="E127" s="11">
        <f t="shared" si="4"/>
        <v>0.54434574620000831</v>
      </c>
      <c r="F127" s="11">
        <f t="shared" si="5"/>
        <v>0.29631229140604387</v>
      </c>
    </row>
    <row r="128" spans="1:6">
      <c r="A128" s="11">
        <v>127</v>
      </c>
      <c r="B128" s="12">
        <v>43957</v>
      </c>
      <c r="C128" s="11">
        <v>68.476158909999995</v>
      </c>
      <c r="D128" s="11">
        <f t="shared" si="3"/>
        <v>67.48686802440001</v>
      </c>
      <c r="E128" s="11">
        <f t="shared" si="4"/>
        <v>0.9892908855999849</v>
      </c>
      <c r="F128" s="11">
        <f t="shared" si="5"/>
        <v>0.97869645633120239</v>
      </c>
    </row>
    <row r="129" spans="1:6">
      <c r="A129" s="11">
        <v>128</v>
      </c>
      <c r="B129" s="12">
        <v>43958</v>
      </c>
      <c r="C129" s="11">
        <v>70.878448660000004</v>
      </c>
      <c r="D129" s="11">
        <f t="shared" si="3"/>
        <v>67.791397320899989</v>
      </c>
      <c r="E129" s="11">
        <f t="shared" si="4"/>
        <v>3.0870513391000145</v>
      </c>
      <c r="F129" s="11">
        <f t="shared" si="5"/>
        <v>9.5298859702391923</v>
      </c>
    </row>
    <row r="130" spans="1:6">
      <c r="A130" s="11">
        <v>129</v>
      </c>
      <c r="B130" s="12">
        <v>43959</v>
      </c>
      <c r="C130" s="11">
        <v>71.796895570000004</v>
      </c>
      <c r="D130" s="11">
        <f t="shared" si="3"/>
        <v>70.169664173400008</v>
      </c>
      <c r="E130" s="11">
        <f t="shared" si="4"/>
        <v>1.6272313965999956</v>
      </c>
      <c r="F130" s="11">
        <f t="shared" si="5"/>
        <v>2.6478820180807721</v>
      </c>
    </row>
    <row r="131" spans="1:6">
      <c r="A131" s="11">
        <v>130</v>
      </c>
      <c r="B131" s="12">
        <v>43960</v>
      </c>
      <c r="C131" s="11">
        <v>71.401862120000004</v>
      </c>
      <c r="D131" s="11">
        <f t="shared" ref="D131:D194" si="6">0.99 * C130</f>
        <v>71.078926614300002</v>
      </c>
      <c r="E131" s="11">
        <f t="shared" ref="E131:E194" si="7">C131-D131</f>
        <v>0.32293550570000207</v>
      </c>
      <c r="F131" s="11">
        <f t="shared" ref="F131:F194" si="8">E131^2</f>
        <v>0.10428734084171606</v>
      </c>
    </row>
    <row r="132" spans="1:6">
      <c r="A132" s="11">
        <v>131</v>
      </c>
      <c r="B132" s="12">
        <v>43961</v>
      </c>
      <c r="C132" s="11">
        <v>69.796690290000001</v>
      </c>
      <c r="D132" s="11">
        <f t="shared" si="6"/>
        <v>70.687843498800007</v>
      </c>
      <c r="E132" s="11">
        <f t="shared" si="7"/>
        <v>-0.89115320880000581</v>
      </c>
      <c r="F132" s="11">
        <f t="shared" si="8"/>
        <v>0.79415404155454672</v>
      </c>
    </row>
    <row r="133" spans="1:6">
      <c r="A133" s="11">
        <v>132</v>
      </c>
      <c r="B133" s="12">
        <v>43962</v>
      </c>
      <c r="C133" s="11">
        <v>68.641663989999998</v>
      </c>
      <c r="D133" s="11">
        <f t="shared" si="6"/>
        <v>69.098723387099994</v>
      </c>
      <c r="E133" s="11">
        <f t="shared" si="7"/>
        <v>-0.45705939709999654</v>
      </c>
      <c r="F133" s="11">
        <f t="shared" si="8"/>
        <v>0.20890329247741232</v>
      </c>
    </row>
    <row r="134" spans="1:6">
      <c r="A134" s="11">
        <v>133</v>
      </c>
      <c r="B134" s="12">
        <v>43963</v>
      </c>
      <c r="C134" s="11">
        <v>68.738473709999994</v>
      </c>
      <c r="D134" s="11">
        <f t="shared" si="6"/>
        <v>67.955247350099995</v>
      </c>
      <c r="E134" s="11">
        <f t="shared" si="7"/>
        <v>0.78322635989999867</v>
      </c>
      <c r="F134" s="11">
        <f t="shared" si="8"/>
        <v>0.61344353084220227</v>
      </c>
    </row>
    <row r="135" spans="1:6">
      <c r="A135" s="11">
        <v>134</v>
      </c>
      <c r="B135" s="12">
        <v>43964</v>
      </c>
      <c r="C135" s="11">
        <v>68.598704920000003</v>
      </c>
      <c r="D135" s="11">
        <f t="shared" si="6"/>
        <v>68.05108897289999</v>
      </c>
      <c r="E135" s="11">
        <f t="shared" si="7"/>
        <v>0.54761594710001305</v>
      </c>
      <c r="F135" s="11">
        <f t="shared" si="8"/>
        <v>0.29988322551824431</v>
      </c>
    </row>
    <row r="136" spans="1:6">
      <c r="A136" s="11">
        <v>135</v>
      </c>
      <c r="B136" s="12">
        <v>43965</v>
      </c>
      <c r="C136" s="11">
        <v>72.034881229999996</v>
      </c>
      <c r="D136" s="11">
        <f t="shared" si="6"/>
        <v>67.912717870800009</v>
      </c>
      <c r="E136" s="11">
        <f t="shared" si="7"/>
        <v>4.1221633591999876</v>
      </c>
      <c r="F136" s="11">
        <f t="shared" si="8"/>
        <v>16.992230759930926</v>
      </c>
    </row>
    <row r="137" spans="1:6">
      <c r="A137" s="11">
        <v>136</v>
      </c>
      <c r="B137" s="12">
        <v>43966</v>
      </c>
      <c r="C137" s="11">
        <v>69.39599561</v>
      </c>
      <c r="D137" s="11">
        <f t="shared" si="6"/>
        <v>71.314532417699994</v>
      </c>
      <c r="E137" s="11">
        <f t="shared" si="7"/>
        <v>-1.9185368076999936</v>
      </c>
      <c r="F137" s="11">
        <f t="shared" si="8"/>
        <v>3.6807834824996819</v>
      </c>
    </row>
    <row r="138" spans="1:6">
      <c r="A138" s="11">
        <v>137</v>
      </c>
      <c r="B138" s="12">
        <v>43967</v>
      </c>
      <c r="C138" s="11">
        <v>69.591141530000002</v>
      </c>
      <c r="D138" s="11">
        <f t="shared" si="6"/>
        <v>68.702035653899998</v>
      </c>
      <c r="E138" s="11">
        <f t="shared" si="7"/>
        <v>0.88910587610000391</v>
      </c>
      <c r="F138" s="11">
        <f t="shared" si="8"/>
        <v>0.79050925891555546</v>
      </c>
    </row>
    <row r="139" spans="1:6">
      <c r="A139" s="11">
        <v>138</v>
      </c>
      <c r="B139" s="12">
        <v>43968</v>
      </c>
      <c r="C139" s="11">
        <v>68.651333940000001</v>
      </c>
      <c r="D139" s="11">
        <f t="shared" si="6"/>
        <v>68.895230114699999</v>
      </c>
      <c r="E139" s="11">
        <f t="shared" si="7"/>
        <v>-0.24389617469999791</v>
      </c>
      <c r="F139" s="11">
        <f t="shared" si="8"/>
        <v>5.94853440332919E-2</v>
      </c>
    </row>
    <row r="140" spans="1:6">
      <c r="A140" s="11">
        <v>139</v>
      </c>
      <c r="B140" s="12">
        <v>43969</v>
      </c>
      <c r="C140" s="11">
        <v>69.209114409999998</v>
      </c>
      <c r="D140" s="11">
        <f t="shared" si="6"/>
        <v>67.964820600600007</v>
      </c>
      <c r="E140" s="11">
        <f t="shared" si="7"/>
        <v>1.2442938093999913</v>
      </c>
      <c r="F140" s="11">
        <f t="shared" si="8"/>
        <v>1.5482670841111419</v>
      </c>
    </row>
    <row r="141" spans="1:6">
      <c r="A141" s="11">
        <v>140</v>
      </c>
      <c r="B141" s="12">
        <v>43970</v>
      </c>
      <c r="C141" s="11">
        <v>68.942066519999997</v>
      </c>
      <c r="D141" s="11">
        <f t="shared" si="6"/>
        <v>68.517023265899994</v>
      </c>
      <c r="E141" s="11">
        <f t="shared" si="7"/>
        <v>0.42504325410000376</v>
      </c>
      <c r="F141" s="11">
        <f t="shared" si="8"/>
        <v>0.18066176785592036</v>
      </c>
    </row>
    <row r="142" spans="1:6">
      <c r="A142" s="11">
        <v>141</v>
      </c>
      <c r="B142" s="12">
        <v>43971</v>
      </c>
      <c r="C142" s="11">
        <v>68.42487663</v>
      </c>
      <c r="D142" s="11">
        <f t="shared" si="6"/>
        <v>68.252645854799994</v>
      </c>
      <c r="E142" s="11">
        <f t="shared" si="7"/>
        <v>0.17223077520000629</v>
      </c>
      <c r="F142" s="11">
        <f t="shared" si="8"/>
        <v>2.9663439925995103E-2</v>
      </c>
    </row>
    <row r="143" spans="1:6">
      <c r="A143" s="11">
        <v>142</v>
      </c>
      <c r="B143" s="12">
        <v>43972</v>
      </c>
      <c r="C143" s="11">
        <v>68.232109719999997</v>
      </c>
      <c r="D143" s="11">
        <f t="shared" si="6"/>
        <v>67.740627863699999</v>
      </c>
      <c r="E143" s="11">
        <f t="shared" si="7"/>
        <v>0.4914818562999983</v>
      </c>
      <c r="F143" s="11">
        <f t="shared" si="8"/>
        <v>0.24155441507209219</v>
      </c>
    </row>
    <row r="144" spans="1:6">
      <c r="A144" s="11">
        <v>143</v>
      </c>
      <c r="B144" s="12">
        <v>43973</v>
      </c>
      <c r="C144" s="11">
        <v>71.166788999999994</v>
      </c>
      <c r="D144" s="11">
        <f t="shared" si="6"/>
        <v>67.549788622799994</v>
      </c>
      <c r="E144" s="11">
        <f t="shared" si="7"/>
        <v>3.6170003772000001</v>
      </c>
      <c r="F144" s="11">
        <f t="shared" si="8"/>
        <v>13.082691728664944</v>
      </c>
    </row>
    <row r="145" spans="1:6">
      <c r="A145" s="11">
        <v>144</v>
      </c>
      <c r="B145" s="12">
        <v>43974</v>
      </c>
      <c r="C145" s="11">
        <v>71.097452059999995</v>
      </c>
      <c r="D145" s="11">
        <f t="shared" si="6"/>
        <v>70.455121109999993</v>
      </c>
      <c r="E145" s="11">
        <f t="shared" si="7"/>
        <v>0.64233095000000162</v>
      </c>
      <c r="F145" s="11">
        <f t="shared" si="8"/>
        <v>0.41258904932790458</v>
      </c>
    </row>
    <row r="146" spans="1:6">
      <c r="A146" s="11">
        <v>145</v>
      </c>
      <c r="B146" s="12">
        <v>43975</v>
      </c>
      <c r="C146" s="11">
        <v>69.542732340000001</v>
      </c>
      <c r="D146" s="11">
        <f t="shared" si="6"/>
        <v>70.386477539399991</v>
      </c>
      <c r="E146" s="11">
        <f t="shared" si="7"/>
        <v>-0.84374519939999004</v>
      </c>
      <c r="F146" s="11">
        <f t="shared" si="8"/>
        <v>0.71190596151052898</v>
      </c>
    </row>
    <row r="147" spans="1:6">
      <c r="A147" s="11">
        <v>146</v>
      </c>
      <c r="B147" s="12">
        <v>43976</v>
      </c>
      <c r="C147" s="11">
        <v>69.95219075</v>
      </c>
      <c r="D147" s="11">
        <f t="shared" si="6"/>
        <v>68.847305016600004</v>
      </c>
      <c r="E147" s="11">
        <f t="shared" si="7"/>
        <v>1.1048857333999962</v>
      </c>
      <c r="F147" s="11">
        <f t="shared" si="8"/>
        <v>1.2207724838708474</v>
      </c>
    </row>
    <row r="148" spans="1:6">
      <c r="A148" s="11">
        <v>147</v>
      </c>
      <c r="B148" s="12">
        <v>43977</v>
      </c>
      <c r="C148" s="11">
        <v>70.118844060000001</v>
      </c>
      <c r="D148" s="11">
        <f t="shared" si="6"/>
        <v>69.2526688425</v>
      </c>
      <c r="E148" s="11">
        <f t="shared" si="7"/>
        <v>0.86617521750000037</v>
      </c>
      <c r="F148" s="11">
        <f t="shared" si="8"/>
        <v>0.75025950741117298</v>
      </c>
    </row>
    <row r="149" spans="1:6">
      <c r="A149" s="11">
        <v>148</v>
      </c>
      <c r="B149" s="12">
        <v>43978</v>
      </c>
      <c r="C149" s="11">
        <v>70.805682970000007</v>
      </c>
      <c r="D149" s="11">
        <f t="shared" si="6"/>
        <v>69.417655619399994</v>
      </c>
      <c r="E149" s="11">
        <f t="shared" si="7"/>
        <v>1.3880273506000123</v>
      </c>
      <c r="F149" s="11">
        <f t="shared" si="8"/>
        <v>1.9266199260136894</v>
      </c>
    </row>
    <row r="150" spans="1:6">
      <c r="A150" s="11">
        <v>149</v>
      </c>
      <c r="B150" s="12">
        <v>43979</v>
      </c>
      <c r="C150" s="11">
        <v>68.623499910000007</v>
      </c>
      <c r="D150" s="11">
        <f t="shared" si="6"/>
        <v>70.097626140300008</v>
      </c>
      <c r="E150" s="11">
        <f t="shared" si="7"/>
        <v>-1.4741262303000013</v>
      </c>
      <c r="F150" s="11">
        <f t="shared" si="8"/>
        <v>2.1730481428584927</v>
      </c>
    </row>
    <row r="151" spans="1:6">
      <c r="A151" s="11">
        <v>150</v>
      </c>
      <c r="B151" s="12">
        <v>43980</v>
      </c>
      <c r="C151" s="11">
        <v>69.235998960000003</v>
      </c>
      <c r="D151" s="11">
        <f t="shared" si="6"/>
        <v>67.937264910900012</v>
      </c>
      <c r="E151" s="11">
        <f t="shared" si="7"/>
        <v>1.2987340490999912</v>
      </c>
      <c r="F151" s="11">
        <f t="shared" si="8"/>
        <v>1.6867101302916585</v>
      </c>
    </row>
    <row r="152" spans="1:6">
      <c r="A152" s="11">
        <v>151</v>
      </c>
      <c r="B152" s="12">
        <v>43981</v>
      </c>
      <c r="C152" s="11">
        <v>70.727244240000005</v>
      </c>
      <c r="D152" s="11">
        <f t="shared" si="6"/>
        <v>68.543638970399996</v>
      </c>
      <c r="E152" s="11">
        <f t="shared" si="7"/>
        <v>2.1836052696000081</v>
      </c>
      <c r="F152" s="11">
        <f t="shared" si="8"/>
        <v>4.7681319734249241</v>
      </c>
    </row>
    <row r="153" spans="1:6">
      <c r="A153" s="11">
        <v>152</v>
      </c>
      <c r="B153" s="12">
        <v>43982</v>
      </c>
      <c r="C153" s="11">
        <v>69.003948570000006</v>
      </c>
      <c r="D153" s="11">
        <f t="shared" si="6"/>
        <v>70.019971797600007</v>
      </c>
      <c r="E153" s="11">
        <f t="shared" si="7"/>
        <v>-1.0160232276000016</v>
      </c>
      <c r="F153" s="11">
        <f t="shared" si="8"/>
        <v>1.0323031990227247</v>
      </c>
    </row>
    <row r="154" spans="1:6">
      <c r="A154" s="11">
        <v>153</v>
      </c>
      <c r="B154" s="12">
        <v>43983</v>
      </c>
      <c r="C154" s="11">
        <v>69.632391150000004</v>
      </c>
      <c r="D154" s="11">
        <f t="shared" si="6"/>
        <v>68.313909084300008</v>
      </c>
      <c r="E154" s="11">
        <f t="shared" si="7"/>
        <v>1.318482065699996</v>
      </c>
      <c r="F154" s="11">
        <f t="shared" si="8"/>
        <v>1.7383949575725286</v>
      </c>
    </row>
    <row r="155" spans="1:6">
      <c r="A155" s="11">
        <v>154</v>
      </c>
      <c r="B155" s="12">
        <v>43984</v>
      </c>
      <c r="C155" s="11">
        <v>71.77443169</v>
      </c>
      <c r="D155" s="11">
        <f t="shared" si="6"/>
        <v>68.936067238500002</v>
      </c>
      <c r="E155" s="11">
        <f t="shared" si="7"/>
        <v>2.8383644514999986</v>
      </c>
      <c r="F155" s="11">
        <f t="shared" si="8"/>
        <v>8.0563127595388888</v>
      </c>
    </row>
    <row r="156" spans="1:6">
      <c r="A156" s="11">
        <v>155</v>
      </c>
      <c r="B156" s="12">
        <v>43985</v>
      </c>
      <c r="C156" s="11">
        <v>71.160083970000002</v>
      </c>
      <c r="D156" s="11">
        <f t="shared" si="6"/>
        <v>71.056687373100004</v>
      </c>
      <c r="E156" s="11">
        <f t="shared" si="7"/>
        <v>0.10339659689999792</v>
      </c>
      <c r="F156" s="11">
        <f t="shared" si="8"/>
        <v>1.0690856250500659E-2</v>
      </c>
    </row>
    <row r="157" spans="1:6">
      <c r="A157" s="11">
        <v>156</v>
      </c>
      <c r="B157" s="12">
        <v>43986</v>
      </c>
      <c r="C157" s="11">
        <v>70.985126809999997</v>
      </c>
      <c r="D157" s="11">
        <f t="shared" si="6"/>
        <v>70.448483130300005</v>
      </c>
      <c r="E157" s="11">
        <f t="shared" si="7"/>
        <v>0.53664367969999205</v>
      </c>
      <c r="F157" s="11">
        <f t="shared" si="8"/>
        <v>0.28798643896194764</v>
      </c>
    </row>
    <row r="158" spans="1:6">
      <c r="A158" s="11">
        <v>157</v>
      </c>
      <c r="B158" s="12">
        <v>43987</v>
      </c>
      <c r="C158" s="11">
        <v>70.91362135</v>
      </c>
      <c r="D158" s="11">
        <f t="shared" si="6"/>
        <v>70.275275541900001</v>
      </c>
      <c r="E158" s="11">
        <f t="shared" si="7"/>
        <v>0.63834580809999864</v>
      </c>
      <c r="F158" s="11">
        <f t="shared" si="8"/>
        <v>0.40748537071884028</v>
      </c>
    </row>
    <row r="159" spans="1:6">
      <c r="A159" s="11">
        <v>158</v>
      </c>
      <c r="B159" s="12">
        <v>43988</v>
      </c>
      <c r="C159" s="11">
        <v>69.545129070000002</v>
      </c>
      <c r="D159" s="11">
        <f t="shared" si="6"/>
        <v>70.204485136499997</v>
      </c>
      <c r="E159" s="11">
        <f t="shared" si="7"/>
        <v>-0.65935606649999556</v>
      </c>
      <c r="F159" s="11">
        <f t="shared" si="8"/>
        <v>0.43475042243034656</v>
      </c>
    </row>
    <row r="160" spans="1:6">
      <c r="A160" s="11">
        <v>159</v>
      </c>
      <c r="B160" s="12">
        <v>43989</v>
      </c>
      <c r="C160" s="11">
        <v>69.492757769999997</v>
      </c>
      <c r="D160" s="11">
        <f t="shared" si="6"/>
        <v>68.849677779299995</v>
      </c>
      <c r="E160" s="11">
        <f t="shared" si="7"/>
        <v>0.64307999070000221</v>
      </c>
      <c r="F160" s="11">
        <f t="shared" si="8"/>
        <v>0.41355187443871494</v>
      </c>
    </row>
    <row r="161" spans="1:6">
      <c r="A161" s="11">
        <v>160</v>
      </c>
      <c r="B161" s="12">
        <v>43990</v>
      </c>
      <c r="C161" s="11">
        <v>68.265121230000005</v>
      </c>
      <c r="D161" s="11">
        <f t="shared" si="6"/>
        <v>68.797830192299998</v>
      </c>
      <c r="E161" s="11">
        <f t="shared" si="7"/>
        <v>-0.53270896229999209</v>
      </c>
      <c r="F161" s="11">
        <f t="shared" si="8"/>
        <v>0.2837788385147344</v>
      </c>
    </row>
    <row r="162" spans="1:6">
      <c r="A162" s="11">
        <v>161</v>
      </c>
      <c r="B162" s="12">
        <v>43991</v>
      </c>
      <c r="C162" s="11">
        <v>68.659942369999996</v>
      </c>
      <c r="D162" s="11">
        <f t="shared" si="6"/>
        <v>67.582470017700004</v>
      </c>
      <c r="E162" s="11">
        <f t="shared" si="7"/>
        <v>1.0774723522999921</v>
      </c>
      <c r="F162" s="11">
        <f t="shared" si="8"/>
        <v>1.1609466699708781</v>
      </c>
    </row>
    <row r="163" spans="1:6">
      <c r="A163" s="11">
        <v>162</v>
      </c>
      <c r="B163" s="12">
        <v>43992</v>
      </c>
      <c r="C163" s="11">
        <v>69.982117029999998</v>
      </c>
      <c r="D163" s="11">
        <f t="shared" si="6"/>
        <v>67.973342946299994</v>
      </c>
      <c r="E163" s="11">
        <f t="shared" si="7"/>
        <v>2.0087740837000041</v>
      </c>
      <c r="F163" s="11">
        <f t="shared" si="8"/>
        <v>4.035173319344791</v>
      </c>
    </row>
    <row r="164" spans="1:6">
      <c r="A164" s="11">
        <v>163</v>
      </c>
      <c r="B164" s="12">
        <v>43993</v>
      </c>
      <c r="C164" s="11">
        <v>71.114388000000005</v>
      </c>
      <c r="D164" s="11">
        <f t="shared" si="6"/>
        <v>69.2822958597</v>
      </c>
      <c r="E164" s="11">
        <f t="shared" si="7"/>
        <v>1.8320921403000057</v>
      </c>
      <c r="F164" s="11">
        <f t="shared" si="8"/>
        <v>3.3565616105490554</v>
      </c>
    </row>
    <row r="165" spans="1:6">
      <c r="A165" s="11">
        <v>164</v>
      </c>
      <c r="B165" s="12">
        <v>43994</v>
      </c>
      <c r="C165" s="11">
        <v>70.698609820000001</v>
      </c>
      <c r="D165" s="11">
        <f t="shared" si="6"/>
        <v>70.403244120000011</v>
      </c>
      <c r="E165" s="11">
        <f t="shared" si="7"/>
        <v>0.29536569999999074</v>
      </c>
      <c r="F165" s="11">
        <f t="shared" si="8"/>
        <v>8.7240896736484524E-2</v>
      </c>
    </row>
    <row r="166" spans="1:6">
      <c r="A166" s="11">
        <v>165</v>
      </c>
      <c r="B166" s="12">
        <v>43995</v>
      </c>
      <c r="C166" s="11">
        <v>70.804833220000006</v>
      </c>
      <c r="D166" s="11">
        <f t="shared" si="6"/>
        <v>69.991623721799996</v>
      </c>
      <c r="E166" s="11">
        <f t="shared" si="7"/>
        <v>0.81320949820000976</v>
      </c>
      <c r="F166" s="11">
        <f t="shared" si="8"/>
        <v>0.66130968796271172</v>
      </c>
    </row>
    <row r="167" spans="1:6">
      <c r="A167" s="11">
        <v>166</v>
      </c>
      <c r="B167" s="12">
        <v>43996</v>
      </c>
      <c r="C167" s="11">
        <v>69.170410770000004</v>
      </c>
      <c r="D167" s="11">
        <f t="shared" si="6"/>
        <v>70.096784887799998</v>
      </c>
      <c r="E167" s="11">
        <f t="shared" si="7"/>
        <v>-0.92637411779999468</v>
      </c>
      <c r="F167" s="11">
        <f t="shared" si="8"/>
        <v>0.85816900612971847</v>
      </c>
    </row>
    <row r="168" spans="1:6">
      <c r="A168" s="11">
        <v>167</v>
      </c>
      <c r="B168" s="12">
        <v>43997</v>
      </c>
      <c r="C168" s="11">
        <v>69.159099220000002</v>
      </c>
      <c r="D168" s="11">
        <f t="shared" si="6"/>
        <v>68.478706662299999</v>
      </c>
      <c r="E168" s="11">
        <f t="shared" si="7"/>
        <v>0.68039255770000295</v>
      </c>
      <c r="F168" s="11">
        <f t="shared" si="8"/>
        <v>0.46293403257355187</v>
      </c>
    </row>
    <row r="169" spans="1:6">
      <c r="A169" s="11">
        <v>168</v>
      </c>
      <c r="B169" s="12">
        <v>43998</v>
      </c>
      <c r="C169" s="11">
        <v>69.763615689999995</v>
      </c>
      <c r="D169" s="11">
        <f t="shared" si="6"/>
        <v>68.467508227799996</v>
      </c>
      <c r="E169" s="11">
        <f t="shared" si="7"/>
        <v>1.2961074621999984</v>
      </c>
      <c r="F169" s="11">
        <f t="shared" si="8"/>
        <v>1.6798945535705203</v>
      </c>
    </row>
    <row r="170" spans="1:6">
      <c r="A170" s="11">
        <v>169</v>
      </c>
      <c r="B170" s="12">
        <v>43999</v>
      </c>
      <c r="C170" s="11">
        <v>71.960030889999999</v>
      </c>
      <c r="D170" s="11">
        <f t="shared" si="6"/>
        <v>69.065979533099991</v>
      </c>
      <c r="E170" s="11">
        <f t="shared" si="7"/>
        <v>2.8940513569000075</v>
      </c>
      <c r="F170" s="11">
        <f t="shared" si="8"/>
        <v>8.3755332563747746</v>
      </c>
    </row>
    <row r="171" spans="1:6">
      <c r="A171" s="11">
        <v>170</v>
      </c>
      <c r="B171" s="12">
        <v>44000</v>
      </c>
      <c r="C171" s="11">
        <v>71.03276717</v>
      </c>
      <c r="D171" s="11">
        <f t="shared" si="6"/>
        <v>71.2404305811</v>
      </c>
      <c r="E171" s="11">
        <f t="shared" si="7"/>
        <v>-0.20766341110000042</v>
      </c>
      <c r="F171" s="11">
        <f t="shared" si="8"/>
        <v>4.3124092309687778E-2</v>
      </c>
    </row>
    <row r="172" spans="1:6">
      <c r="A172" s="11">
        <v>171</v>
      </c>
      <c r="B172" s="12">
        <v>44001</v>
      </c>
      <c r="C172" s="11">
        <v>69.532634400000006</v>
      </c>
      <c r="D172" s="11">
        <f t="shared" si="6"/>
        <v>70.3224394983</v>
      </c>
      <c r="E172" s="11">
        <f t="shared" si="7"/>
        <v>-0.78980509829999335</v>
      </c>
      <c r="F172" s="11">
        <f t="shared" si="8"/>
        <v>0.6237920933006621</v>
      </c>
    </row>
    <row r="173" spans="1:6">
      <c r="A173" s="11">
        <v>172</v>
      </c>
      <c r="B173" s="12">
        <v>44002</v>
      </c>
      <c r="C173" s="11">
        <v>69.431101709999993</v>
      </c>
      <c r="D173" s="11">
        <f t="shared" si="6"/>
        <v>68.837308056000012</v>
      </c>
      <c r="E173" s="11">
        <f t="shared" si="7"/>
        <v>0.59379365399998107</v>
      </c>
      <c r="F173" s="11">
        <f t="shared" si="8"/>
        <v>0.35259090353064926</v>
      </c>
    </row>
    <row r="174" spans="1:6">
      <c r="A174" s="11">
        <v>173</v>
      </c>
      <c r="B174" s="12">
        <v>44003</v>
      </c>
      <c r="C174" s="11">
        <v>68.879757260000005</v>
      </c>
      <c r="D174" s="11">
        <f t="shared" si="6"/>
        <v>68.736790692899987</v>
      </c>
      <c r="E174" s="11">
        <f t="shared" si="7"/>
        <v>0.14296656710001798</v>
      </c>
      <c r="F174" s="11">
        <f t="shared" si="8"/>
        <v>2.0439439308363946E-2</v>
      </c>
    </row>
    <row r="175" spans="1:6">
      <c r="A175" s="11">
        <v>174</v>
      </c>
      <c r="B175" s="12">
        <v>44004</v>
      </c>
      <c r="C175" s="11">
        <v>69.691277690000007</v>
      </c>
      <c r="D175" s="11">
        <f t="shared" si="6"/>
        <v>68.19095968740001</v>
      </c>
      <c r="E175" s="11">
        <f t="shared" si="7"/>
        <v>1.5003180025999967</v>
      </c>
      <c r="F175" s="11">
        <f t="shared" si="8"/>
        <v>2.2509541089256437</v>
      </c>
    </row>
    <row r="176" spans="1:6">
      <c r="A176" s="11">
        <v>175</v>
      </c>
      <c r="B176" s="12">
        <v>44005</v>
      </c>
      <c r="C176" s="11">
        <v>69.785784219999996</v>
      </c>
      <c r="D176" s="11">
        <f t="shared" si="6"/>
        <v>68.9943649131</v>
      </c>
      <c r="E176" s="11">
        <f t="shared" si="7"/>
        <v>0.7914193068999964</v>
      </c>
      <c r="F176" s="11">
        <f t="shared" si="8"/>
        <v>0.62634451933407065</v>
      </c>
    </row>
    <row r="177" spans="1:6">
      <c r="A177" s="11">
        <v>176</v>
      </c>
      <c r="B177" s="12">
        <v>44006</v>
      </c>
      <c r="C177" s="11">
        <v>68.172759679999999</v>
      </c>
      <c r="D177" s="11">
        <f t="shared" si="6"/>
        <v>69.087926377800002</v>
      </c>
      <c r="E177" s="11">
        <f t="shared" si="7"/>
        <v>-0.9151666978000037</v>
      </c>
      <c r="F177" s="11">
        <f t="shared" si="8"/>
        <v>0.83753008476216328</v>
      </c>
    </row>
    <row r="178" spans="1:6">
      <c r="A178" s="11">
        <v>177</v>
      </c>
      <c r="B178" s="12">
        <v>44007</v>
      </c>
      <c r="C178" s="11">
        <v>68.909333989999993</v>
      </c>
      <c r="D178" s="11">
        <f t="shared" si="6"/>
        <v>67.491032083199997</v>
      </c>
      <c r="E178" s="11">
        <f t="shared" si="7"/>
        <v>1.4183019067999965</v>
      </c>
      <c r="F178" s="11">
        <f t="shared" si="8"/>
        <v>2.0115802988325058</v>
      </c>
    </row>
    <row r="179" spans="1:6">
      <c r="A179" s="11">
        <v>178</v>
      </c>
      <c r="B179" s="12">
        <v>44008</v>
      </c>
      <c r="C179" s="11">
        <v>69.576229400000003</v>
      </c>
      <c r="D179" s="11">
        <f t="shared" si="6"/>
        <v>68.220240650099996</v>
      </c>
      <c r="E179" s="11">
        <f t="shared" si="7"/>
        <v>1.355988749900007</v>
      </c>
      <c r="F179" s="11">
        <f t="shared" si="8"/>
        <v>1.8387054898553836</v>
      </c>
    </row>
    <row r="180" spans="1:6">
      <c r="A180" s="11">
        <v>179</v>
      </c>
      <c r="B180" s="12">
        <v>44009</v>
      </c>
      <c r="C180" s="11">
        <v>68.440514140000005</v>
      </c>
      <c r="D180" s="11">
        <f t="shared" si="6"/>
        <v>68.880467105999998</v>
      </c>
      <c r="E180" s="11">
        <f t="shared" si="7"/>
        <v>-0.43995296599999278</v>
      </c>
      <c r="F180" s="11">
        <f t="shared" si="8"/>
        <v>0.19355861229219082</v>
      </c>
    </row>
    <row r="181" spans="1:6">
      <c r="A181" s="11">
        <v>180</v>
      </c>
      <c r="B181" s="12">
        <v>44010</v>
      </c>
      <c r="C181" s="11">
        <v>69.124305509999999</v>
      </c>
      <c r="D181" s="11">
        <f t="shared" si="6"/>
        <v>67.756108998599998</v>
      </c>
      <c r="E181" s="11">
        <f t="shared" si="7"/>
        <v>1.3681965114000008</v>
      </c>
      <c r="F181" s="11">
        <f t="shared" si="8"/>
        <v>1.8719616938071324</v>
      </c>
    </row>
    <row r="182" spans="1:6">
      <c r="A182" s="11">
        <v>181</v>
      </c>
      <c r="B182" s="12">
        <v>44011</v>
      </c>
      <c r="C182" s="11">
        <v>71.43178503</v>
      </c>
      <c r="D182" s="11">
        <f t="shared" si="6"/>
        <v>68.433062454899996</v>
      </c>
      <c r="E182" s="11">
        <f t="shared" si="7"/>
        <v>2.998722575100004</v>
      </c>
      <c r="F182" s="11">
        <f t="shared" si="8"/>
        <v>8.992337082414398</v>
      </c>
    </row>
    <row r="183" spans="1:6">
      <c r="A183" s="11">
        <v>182</v>
      </c>
      <c r="B183" s="12">
        <v>44012</v>
      </c>
      <c r="C183" s="11">
        <v>71.643083110000006</v>
      </c>
      <c r="D183" s="11">
        <f t="shared" si="6"/>
        <v>70.717467179699995</v>
      </c>
      <c r="E183" s="11">
        <f t="shared" si="7"/>
        <v>0.92561593030001177</v>
      </c>
      <c r="F183" s="11">
        <f t="shared" si="8"/>
        <v>0.85676485042515627</v>
      </c>
    </row>
    <row r="184" spans="1:6">
      <c r="A184" s="11">
        <v>183</v>
      </c>
      <c r="B184" s="12">
        <v>44013</v>
      </c>
      <c r="C184" s="11">
        <v>71.168241550000005</v>
      </c>
      <c r="D184" s="11">
        <f t="shared" si="6"/>
        <v>70.926652278900008</v>
      </c>
      <c r="E184" s="11">
        <f t="shared" si="7"/>
        <v>0.24158927109999695</v>
      </c>
      <c r="F184" s="11">
        <f t="shared" si="8"/>
        <v>5.836537591062782E-2</v>
      </c>
    </row>
    <row r="185" spans="1:6">
      <c r="A185" s="11">
        <v>184</v>
      </c>
      <c r="B185" s="12">
        <v>44014</v>
      </c>
      <c r="C185" s="11">
        <v>68.866523270000002</v>
      </c>
      <c r="D185" s="11">
        <f t="shared" si="6"/>
        <v>70.456559134499997</v>
      </c>
      <c r="E185" s="11">
        <f t="shared" si="7"/>
        <v>-1.5900358644999955</v>
      </c>
      <c r="F185" s="11">
        <f t="shared" si="8"/>
        <v>2.5282140503962478</v>
      </c>
    </row>
    <row r="186" spans="1:6">
      <c r="A186" s="11">
        <v>185</v>
      </c>
      <c r="B186" s="12">
        <v>44015</v>
      </c>
      <c r="C186" s="11">
        <v>69.446339870000003</v>
      </c>
      <c r="D186" s="11">
        <f t="shared" si="6"/>
        <v>68.177858037299998</v>
      </c>
      <c r="E186" s="11">
        <f t="shared" si="7"/>
        <v>1.2684818327000045</v>
      </c>
      <c r="F186" s="11">
        <f t="shared" si="8"/>
        <v>1.6090461598899621</v>
      </c>
    </row>
    <row r="187" spans="1:6">
      <c r="A187" s="11">
        <v>186</v>
      </c>
      <c r="B187" s="12">
        <v>44016</v>
      </c>
      <c r="C187" s="11">
        <v>70.156296519999998</v>
      </c>
      <c r="D187" s="11">
        <f t="shared" si="6"/>
        <v>68.751876471300008</v>
      </c>
      <c r="E187" s="11">
        <f t="shared" si="7"/>
        <v>1.4044200486999898</v>
      </c>
      <c r="F187" s="11">
        <f t="shared" si="8"/>
        <v>1.9723956731904817</v>
      </c>
    </row>
    <row r="188" spans="1:6">
      <c r="A188" s="11">
        <v>187</v>
      </c>
      <c r="B188" s="12">
        <v>44017</v>
      </c>
      <c r="C188" s="11">
        <v>70.788921189999996</v>
      </c>
      <c r="D188" s="11">
        <f t="shared" si="6"/>
        <v>69.454733554800001</v>
      </c>
      <c r="E188" s="11">
        <f t="shared" si="7"/>
        <v>1.3341876351999957</v>
      </c>
      <c r="F188" s="11">
        <f t="shared" si="8"/>
        <v>1.7800566459205569</v>
      </c>
    </row>
    <row r="189" spans="1:6">
      <c r="A189" s="11">
        <v>188</v>
      </c>
      <c r="B189" s="12">
        <v>44018</v>
      </c>
      <c r="C189" s="11">
        <v>70.849092380000002</v>
      </c>
      <c r="D189" s="11">
        <f t="shared" si="6"/>
        <v>70.0810319781</v>
      </c>
      <c r="E189" s="11">
        <f t="shared" si="7"/>
        <v>0.76806040190000147</v>
      </c>
      <c r="F189" s="11">
        <f t="shared" si="8"/>
        <v>0.58991678096679179</v>
      </c>
    </row>
    <row r="190" spans="1:6">
      <c r="A190" s="11">
        <v>189</v>
      </c>
      <c r="B190" s="12">
        <v>44019</v>
      </c>
      <c r="C190" s="11">
        <v>68.912998349999995</v>
      </c>
      <c r="D190" s="11">
        <f t="shared" si="6"/>
        <v>70.140601456200002</v>
      </c>
      <c r="E190" s="11">
        <f t="shared" si="7"/>
        <v>-1.2276031062000072</v>
      </c>
      <c r="F190" s="11">
        <f t="shared" si="8"/>
        <v>1.5070093863519063</v>
      </c>
    </row>
    <row r="191" spans="1:6">
      <c r="A191" s="11">
        <v>190</v>
      </c>
      <c r="B191" s="12">
        <v>44020</v>
      </c>
      <c r="C191" s="11">
        <v>69.051670479999999</v>
      </c>
      <c r="D191" s="11">
        <f t="shared" si="6"/>
        <v>68.2238683665</v>
      </c>
      <c r="E191" s="11">
        <f t="shared" si="7"/>
        <v>0.82780211349999888</v>
      </c>
      <c r="F191" s="11">
        <f t="shared" si="8"/>
        <v>0.68525633911506501</v>
      </c>
    </row>
    <row r="192" spans="1:6">
      <c r="A192" s="11">
        <v>191</v>
      </c>
      <c r="B192" s="12">
        <v>44021</v>
      </c>
      <c r="C192" s="11">
        <v>68.99923192</v>
      </c>
      <c r="D192" s="11">
        <f t="shared" si="6"/>
        <v>68.361153775199995</v>
      </c>
      <c r="E192" s="11">
        <f t="shared" si="7"/>
        <v>0.63807814480000502</v>
      </c>
      <c r="F192" s="11">
        <f t="shared" si="8"/>
        <v>0.40714371887141615</v>
      </c>
    </row>
    <row r="193" spans="1:6">
      <c r="A193" s="11">
        <v>192</v>
      </c>
      <c r="B193" s="12">
        <v>44022</v>
      </c>
      <c r="C193" s="11">
        <v>69.633953919999996</v>
      </c>
      <c r="D193" s="11">
        <f t="shared" si="6"/>
        <v>68.309239600799998</v>
      </c>
      <c r="E193" s="11">
        <f t="shared" si="7"/>
        <v>1.3247143191999982</v>
      </c>
      <c r="F193" s="11">
        <f t="shared" si="8"/>
        <v>1.7548680274935147</v>
      </c>
    </row>
    <row r="194" spans="1:6">
      <c r="A194" s="11">
        <v>193</v>
      </c>
      <c r="B194" s="12">
        <v>44023</v>
      </c>
      <c r="C194" s="11">
        <v>69.183201850000003</v>
      </c>
      <c r="D194" s="11">
        <f t="shared" si="6"/>
        <v>68.937614380799999</v>
      </c>
      <c r="E194" s="11">
        <f t="shared" si="7"/>
        <v>0.24558746920000374</v>
      </c>
      <c r="F194" s="11">
        <f t="shared" si="8"/>
        <v>6.0313205028062783E-2</v>
      </c>
    </row>
    <row r="195" spans="1:6">
      <c r="A195" s="11">
        <v>194</v>
      </c>
      <c r="B195" s="12">
        <v>44024</v>
      </c>
      <c r="C195" s="11">
        <v>70.932205300000007</v>
      </c>
      <c r="D195" s="11">
        <f t="shared" ref="D195:D258" si="9">0.99 * C194</f>
        <v>68.491369831500009</v>
      </c>
      <c r="E195" s="11">
        <f t="shared" ref="E195:E258" si="10">C195-D195</f>
        <v>2.4408354684999978</v>
      </c>
      <c r="F195" s="11">
        <f t="shared" ref="F195:F258" si="11">E195^2</f>
        <v>5.9576777842876032</v>
      </c>
    </row>
    <row r="196" spans="1:6">
      <c r="A196" s="11">
        <v>195</v>
      </c>
      <c r="B196" s="12">
        <v>44025</v>
      </c>
      <c r="C196" s="11">
        <v>69.945390239999995</v>
      </c>
      <c r="D196" s="11">
        <f t="shared" si="9"/>
        <v>70.222883247000013</v>
      </c>
      <c r="E196" s="11">
        <f t="shared" si="10"/>
        <v>-0.27749300700001811</v>
      </c>
      <c r="F196" s="11">
        <f t="shared" si="11"/>
        <v>7.7002368933912102E-2</v>
      </c>
    </row>
    <row r="197" spans="1:6">
      <c r="A197" s="11">
        <v>196</v>
      </c>
      <c r="B197" s="12">
        <v>44026</v>
      </c>
      <c r="C197" s="11">
        <v>68.788630400000002</v>
      </c>
      <c r="D197" s="11">
        <f t="shared" si="9"/>
        <v>69.2459363376</v>
      </c>
      <c r="E197" s="11">
        <f t="shared" si="10"/>
        <v>-0.45730593759999749</v>
      </c>
      <c r="F197" s="11">
        <f t="shared" si="11"/>
        <v>0.20912872056421281</v>
      </c>
    </row>
    <row r="198" spans="1:6">
      <c r="A198" s="11">
        <v>197</v>
      </c>
      <c r="B198" s="12">
        <v>44027</v>
      </c>
      <c r="C198" s="11">
        <v>69.36414757</v>
      </c>
      <c r="D198" s="11">
        <f t="shared" si="9"/>
        <v>68.100744096</v>
      </c>
      <c r="E198" s="11">
        <f t="shared" si="10"/>
        <v>1.2634034740000004</v>
      </c>
      <c r="F198" s="11">
        <f t="shared" si="11"/>
        <v>1.5961883381152697</v>
      </c>
    </row>
    <row r="199" spans="1:6">
      <c r="A199" s="11">
        <v>198</v>
      </c>
      <c r="B199" s="12">
        <v>44028</v>
      </c>
      <c r="C199" s="11">
        <v>68.904800359999996</v>
      </c>
      <c r="D199" s="11">
        <f t="shared" si="9"/>
        <v>68.670506094299995</v>
      </c>
      <c r="E199" s="11">
        <f t="shared" si="10"/>
        <v>0.23429426570000089</v>
      </c>
      <c r="F199" s="11">
        <f t="shared" si="11"/>
        <v>5.4893802939902613E-2</v>
      </c>
    </row>
    <row r="200" spans="1:6">
      <c r="A200" s="11">
        <v>199</v>
      </c>
      <c r="B200" s="12">
        <v>44029</v>
      </c>
      <c r="C200" s="11">
        <v>69.108972640000005</v>
      </c>
      <c r="D200" s="11">
        <f t="shared" si="9"/>
        <v>68.215752356399989</v>
      </c>
      <c r="E200" s="11">
        <f t="shared" si="10"/>
        <v>0.89322028360001582</v>
      </c>
      <c r="F200" s="11">
        <f t="shared" si="11"/>
        <v>0.79784247503449268</v>
      </c>
    </row>
    <row r="201" spans="1:6">
      <c r="A201" s="11">
        <v>200</v>
      </c>
      <c r="B201" s="12">
        <v>44030</v>
      </c>
      <c r="C201" s="11">
        <v>68.963978879999999</v>
      </c>
      <c r="D201" s="11">
        <f t="shared" si="9"/>
        <v>68.41788291360001</v>
      </c>
      <c r="E201" s="11">
        <f t="shared" si="10"/>
        <v>0.5460959663999887</v>
      </c>
      <c r="F201" s="11">
        <f t="shared" si="11"/>
        <v>0.2982208045183376</v>
      </c>
    </row>
    <row r="202" spans="1:6">
      <c r="A202" s="11">
        <v>201</v>
      </c>
      <c r="B202" s="12">
        <v>44031</v>
      </c>
      <c r="C202" s="11">
        <v>71.056867600000004</v>
      </c>
      <c r="D202" s="11">
        <f t="shared" si="9"/>
        <v>68.274339091200005</v>
      </c>
      <c r="E202" s="11">
        <f t="shared" si="10"/>
        <v>2.7825285087999987</v>
      </c>
      <c r="F202" s="11">
        <f t="shared" si="11"/>
        <v>7.7424649022847447</v>
      </c>
    </row>
    <row r="203" spans="1:6">
      <c r="A203" s="11">
        <v>202</v>
      </c>
      <c r="B203" s="12">
        <v>44032</v>
      </c>
      <c r="C203" s="11">
        <v>71.730730719999997</v>
      </c>
      <c r="D203" s="11">
        <f t="shared" si="9"/>
        <v>70.34629892400001</v>
      </c>
      <c r="E203" s="11">
        <f t="shared" si="10"/>
        <v>1.384431795999987</v>
      </c>
      <c r="F203" s="11">
        <f t="shared" si="11"/>
        <v>1.9166513977757496</v>
      </c>
    </row>
    <row r="204" spans="1:6">
      <c r="A204" s="11">
        <v>203</v>
      </c>
      <c r="B204" s="12">
        <v>44033</v>
      </c>
      <c r="C204" s="11">
        <v>70.663908640000002</v>
      </c>
      <c r="D204" s="11">
        <f t="shared" si="9"/>
        <v>71.013423412799995</v>
      </c>
      <c r="E204" s="11">
        <f t="shared" si="10"/>
        <v>-0.3495147727999921</v>
      </c>
      <c r="F204" s="11">
        <f t="shared" si="11"/>
        <v>0.1221605764054301</v>
      </c>
    </row>
    <row r="205" spans="1:6">
      <c r="A205" s="11">
        <v>204</v>
      </c>
      <c r="B205" s="12">
        <v>44034</v>
      </c>
      <c r="C205" s="11">
        <v>69.487908910000002</v>
      </c>
      <c r="D205" s="11">
        <f t="shared" si="9"/>
        <v>69.9572695536</v>
      </c>
      <c r="E205" s="11">
        <f t="shared" si="10"/>
        <v>-0.46936064359999818</v>
      </c>
      <c r="F205" s="11">
        <f t="shared" si="11"/>
        <v>0.22029941376060452</v>
      </c>
    </row>
    <row r="206" spans="1:6">
      <c r="A206" s="11">
        <v>205</v>
      </c>
      <c r="B206" s="12">
        <v>44035</v>
      </c>
      <c r="C206" s="11">
        <v>70.434490370000006</v>
      </c>
      <c r="D206" s="11">
        <f t="shared" si="9"/>
        <v>68.793029820900003</v>
      </c>
      <c r="E206" s="11">
        <f t="shared" si="10"/>
        <v>1.6414605491000032</v>
      </c>
      <c r="F206" s="11">
        <f t="shared" si="11"/>
        <v>2.694392734251684</v>
      </c>
    </row>
    <row r="207" spans="1:6">
      <c r="A207" s="11">
        <v>206</v>
      </c>
      <c r="B207" s="12">
        <v>44036</v>
      </c>
      <c r="C207" s="11">
        <v>70.819525630000001</v>
      </c>
      <c r="D207" s="11">
        <f t="shared" si="9"/>
        <v>69.730145466300002</v>
      </c>
      <c r="E207" s="11">
        <f t="shared" si="10"/>
        <v>1.0893801636999996</v>
      </c>
      <c r="F207" s="11">
        <f t="shared" si="11"/>
        <v>1.186749141063038</v>
      </c>
    </row>
    <row r="208" spans="1:6">
      <c r="A208" s="11">
        <v>207</v>
      </c>
      <c r="B208" s="12">
        <v>44037</v>
      </c>
      <c r="C208" s="11">
        <v>70.859420670000006</v>
      </c>
      <c r="D208" s="11">
        <f t="shared" si="9"/>
        <v>70.1113303737</v>
      </c>
      <c r="E208" s="11">
        <f t="shared" si="10"/>
        <v>0.74809029630000623</v>
      </c>
      <c r="F208" s="11">
        <f t="shared" si="11"/>
        <v>0.55963909141823109</v>
      </c>
    </row>
    <row r="209" spans="1:6">
      <c r="A209" s="11">
        <v>208</v>
      </c>
      <c r="B209" s="12">
        <v>44038</v>
      </c>
      <c r="C209" s="11">
        <v>70.243602480000007</v>
      </c>
      <c r="D209" s="11">
        <f t="shared" si="9"/>
        <v>70.150826463300007</v>
      </c>
      <c r="E209" s="11">
        <f t="shared" si="10"/>
        <v>9.2776016700000241E-2</v>
      </c>
      <c r="F209" s="11">
        <f t="shared" si="11"/>
        <v>8.6073892747187235E-3</v>
      </c>
    </row>
    <row r="210" spans="1:6">
      <c r="A210" s="11">
        <v>209</v>
      </c>
      <c r="B210" s="12">
        <v>44039</v>
      </c>
      <c r="C210" s="11">
        <v>68.200105260000001</v>
      </c>
      <c r="D210" s="11">
        <f t="shared" si="9"/>
        <v>69.541166455200013</v>
      </c>
      <c r="E210" s="11">
        <f t="shared" si="10"/>
        <v>-1.3410611952000124</v>
      </c>
      <c r="F210" s="11">
        <f t="shared" si="11"/>
        <v>1.7984451292712857</v>
      </c>
    </row>
    <row r="211" spans="1:6">
      <c r="A211" s="11">
        <v>210</v>
      </c>
      <c r="B211" s="12">
        <v>44040</v>
      </c>
      <c r="C211" s="11">
        <v>68.734516429999999</v>
      </c>
      <c r="D211" s="11">
        <f t="shared" si="9"/>
        <v>67.5181042074</v>
      </c>
      <c r="E211" s="11">
        <f t="shared" si="10"/>
        <v>1.2164122225999989</v>
      </c>
      <c r="F211" s="11">
        <f t="shared" si="11"/>
        <v>1.4796586952906694</v>
      </c>
    </row>
    <row r="212" spans="1:6">
      <c r="A212" s="11">
        <v>211</v>
      </c>
      <c r="B212" s="12">
        <v>44041</v>
      </c>
      <c r="C212" s="11">
        <v>69.24818836</v>
      </c>
      <c r="D212" s="11">
        <f t="shared" si="9"/>
        <v>68.047171265700001</v>
      </c>
      <c r="E212" s="11">
        <f t="shared" si="10"/>
        <v>1.2010170942999991</v>
      </c>
      <c r="F212" s="11">
        <f t="shared" si="11"/>
        <v>1.4424420608008131</v>
      </c>
    </row>
    <row r="213" spans="1:6">
      <c r="A213" s="11">
        <v>212</v>
      </c>
      <c r="B213" s="12">
        <v>44042</v>
      </c>
      <c r="C213" s="11">
        <v>70.573613359999996</v>
      </c>
      <c r="D213" s="11">
        <f t="shared" si="9"/>
        <v>68.555706476400005</v>
      </c>
      <c r="E213" s="11">
        <f t="shared" si="10"/>
        <v>2.0179068835999914</v>
      </c>
      <c r="F213" s="11">
        <f t="shared" si="11"/>
        <v>4.0719481908802289</v>
      </c>
    </row>
    <row r="214" spans="1:6">
      <c r="A214" s="11">
        <v>213</v>
      </c>
      <c r="B214" s="12">
        <v>44043</v>
      </c>
      <c r="C214" s="11">
        <v>71.581553940000006</v>
      </c>
      <c r="D214" s="11">
        <f t="shared" si="9"/>
        <v>69.867877226399997</v>
      </c>
      <c r="E214" s="11">
        <f t="shared" si="10"/>
        <v>1.7136767136000088</v>
      </c>
      <c r="F214" s="11">
        <f t="shared" si="11"/>
        <v>2.9366878787349266</v>
      </c>
    </row>
    <row r="215" spans="1:6">
      <c r="A215" s="11">
        <v>214</v>
      </c>
      <c r="B215" s="12">
        <v>44044</v>
      </c>
      <c r="C215" s="11">
        <v>70.118897309999994</v>
      </c>
      <c r="D215" s="11">
        <f t="shared" si="9"/>
        <v>70.865738400600009</v>
      </c>
      <c r="E215" s="11">
        <f t="shared" si="10"/>
        <v>-0.74684109060001447</v>
      </c>
      <c r="F215" s="11">
        <f t="shared" si="11"/>
        <v>0.55777161460861902</v>
      </c>
    </row>
    <row r="216" spans="1:6">
      <c r="A216" s="11">
        <v>215</v>
      </c>
      <c r="B216" s="12">
        <v>44045</v>
      </c>
      <c r="C216" s="11">
        <v>70.065257439999996</v>
      </c>
      <c r="D216" s="11">
        <f t="shared" si="9"/>
        <v>69.417708336899992</v>
      </c>
      <c r="E216" s="11">
        <f t="shared" si="10"/>
        <v>0.64754910310000469</v>
      </c>
      <c r="F216" s="11">
        <f t="shared" si="11"/>
        <v>0.41931984092562052</v>
      </c>
    </row>
    <row r="217" spans="1:6">
      <c r="A217" s="11">
        <v>216</v>
      </c>
      <c r="B217" s="12">
        <v>44046</v>
      </c>
      <c r="C217" s="11">
        <v>71.739364269999996</v>
      </c>
      <c r="D217" s="11">
        <f t="shared" si="9"/>
        <v>69.3646048656</v>
      </c>
      <c r="E217" s="11">
        <f t="shared" si="10"/>
        <v>2.3747594043999953</v>
      </c>
      <c r="F217" s="11">
        <f t="shared" si="11"/>
        <v>5.6394822287862203</v>
      </c>
    </row>
    <row r="218" spans="1:6">
      <c r="A218" s="11">
        <v>217</v>
      </c>
      <c r="B218" s="12">
        <v>44047</v>
      </c>
      <c r="C218" s="11">
        <v>70.356328610000006</v>
      </c>
      <c r="D218" s="11">
        <f t="shared" si="9"/>
        <v>71.021970627299993</v>
      </c>
      <c r="E218" s="11">
        <f t="shared" si="10"/>
        <v>-0.66564201729998729</v>
      </c>
      <c r="F218" s="11">
        <f t="shared" si="11"/>
        <v>0.44307929519519657</v>
      </c>
    </row>
    <row r="219" spans="1:6">
      <c r="A219" s="11">
        <v>218</v>
      </c>
      <c r="B219" s="12">
        <v>44048</v>
      </c>
      <c r="C219" s="11">
        <v>71.373909620000006</v>
      </c>
      <c r="D219" s="11">
        <f t="shared" si="9"/>
        <v>69.652765323899999</v>
      </c>
      <c r="E219" s="11">
        <f t="shared" si="10"/>
        <v>1.7211442961000074</v>
      </c>
      <c r="F219" s="11">
        <f t="shared" si="11"/>
        <v>2.9623376879975898</v>
      </c>
    </row>
    <row r="220" spans="1:6">
      <c r="A220" s="11">
        <v>219</v>
      </c>
      <c r="B220" s="12">
        <v>44049</v>
      </c>
      <c r="C220" s="11">
        <v>69.864861349999998</v>
      </c>
      <c r="D220" s="11">
        <f t="shared" si="9"/>
        <v>70.660170523800005</v>
      </c>
      <c r="E220" s="11">
        <f t="shared" si="10"/>
        <v>-0.79530917380000687</v>
      </c>
      <c r="F220" s="11">
        <f t="shared" si="11"/>
        <v>0.63251668193044952</v>
      </c>
    </row>
    <row r="221" spans="1:6">
      <c r="A221" s="11">
        <v>220</v>
      </c>
      <c r="B221" s="12">
        <v>44050</v>
      </c>
      <c r="C221" s="11">
        <v>69.529703679999997</v>
      </c>
      <c r="D221" s="11">
        <f t="shared" si="9"/>
        <v>69.1662127365</v>
      </c>
      <c r="E221" s="11">
        <f t="shared" si="10"/>
        <v>0.36349094349999689</v>
      </c>
      <c r="F221" s="11">
        <f t="shared" si="11"/>
        <v>0.13212566600651793</v>
      </c>
    </row>
    <row r="222" spans="1:6">
      <c r="A222" s="11">
        <v>221</v>
      </c>
      <c r="B222" s="12">
        <v>44051</v>
      </c>
      <c r="C222" s="11">
        <v>69.747218189999998</v>
      </c>
      <c r="D222" s="11">
        <f t="shared" si="9"/>
        <v>68.834406643199998</v>
      </c>
      <c r="E222" s="11">
        <f t="shared" si="10"/>
        <v>0.91281154680000043</v>
      </c>
      <c r="F222" s="11">
        <f t="shared" si="11"/>
        <v>0.83322491997140935</v>
      </c>
    </row>
    <row r="223" spans="1:6">
      <c r="A223" s="11">
        <v>222</v>
      </c>
      <c r="B223" s="12">
        <v>44052</v>
      </c>
      <c r="C223" s="11">
        <v>70.000918709999993</v>
      </c>
      <c r="D223" s="11">
        <f t="shared" si="9"/>
        <v>69.049746008100001</v>
      </c>
      <c r="E223" s="11">
        <f t="shared" si="10"/>
        <v>0.95117270189999203</v>
      </c>
      <c r="F223" s="11">
        <f t="shared" si="11"/>
        <v>0.90472950883973113</v>
      </c>
    </row>
    <row r="224" spans="1:6">
      <c r="A224" s="11">
        <v>223</v>
      </c>
      <c r="B224" s="12">
        <v>44053</v>
      </c>
      <c r="C224" s="11">
        <v>69.238707730000002</v>
      </c>
      <c r="D224" s="11">
        <f t="shared" si="9"/>
        <v>69.3009095229</v>
      </c>
      <c r="E224" s="11">
        <f t="shared" si="10"/>
        <v>-6.2201792899998054E-2</v>
      </c>
      <c r="F224" s="11">
        <f t="shared" si="11"/>
        <v>3.8690630399742481E-3</v>
      </c>
    </row>
    <row r="225" spans="1:6">
      <c r="A225" s="11">
        <v>224</v>
      </c>
      <c r="B225" s="12">
        <v>44054</v>
      </c>
      <c r="C225" s="11">
        <v>68.95176592</v>
      </c>
      <c r="D225" s="11">
        <f t="shared" si="9"/>
        <v>68.546320652700004</v>
      </c>
      <c r="E225" s="11">
        <f t="shared" si="10"/>
        <v>0.40544526729999575</v>
      </c>
      <c r="F225" s="11">
        <f t="shared" si="11"/>
        <v>0.16438586477596501</v>
      </c>
    </row>
    <row r="226" spans="1:6">
      <c r="A226" s="11">
        <v>225</v>
      </c>
      <c r="B226" s="12">
        <v>44055</v>
      </c>
      <c r="C226" s="11">
        <v>68.931726949999998</v>
      </c>
      <c r="D226" s="11">
        <f t="shared" si="9"/>
        <v>68.262248260799993</v>
      </c>
      <c r="E226" s="11">
        <f t="shared" si="10"/>
        <v>0.66947868920000531</v>
      </c>
      <c r="F226" s="11">
        <f t="shared" si="11"/>
        <v>0.44820171529295733</v>
      </c>
    </row>
    <row r="227" spans="1:6">
      <c r="A227" s="11">
        <v>226</v>
      </c>
      <c r="B227" s="12">
        <v>44056</v>
      </c>
      <c r="C227" s="11">
        <v>70.000468990000002</v>
      </c>
      <c r="D227" s="11">
        <f t="shared" si="9"/>
        <v>68.242409680500003</v>
      </c>
      <c r="E227" s="11">
        <f t="shared" si="10"/>
        <v>1.7580593094999983</v>
      </c>
      <c r="F227" s="11">
        <f t="shared" si="11"/>
        <v>3.0907725357196107</v>
      </c>
    </row>
    <row r="228" spans="1:6">
      <c r="A228" s="11">
        <v>227</v>
      </c>
      <c r="B228" s="12">
        <v>44057</v>
      </c>
      <c r="C228" s="11">
        <v>70.650798420000001</v>
      </c>
      <c r="D228" s="11">
        <f t="shared" si="9"/>
        <v>69.300464300100003</v>
      </c>
      <c r="E228" s="11">
        <f t="shared" si="10"/>
        <v>1.3503341198999976</v>
      </c>
      <c r="F228" s="11">
        <f t="shared" si="11"/>
        <v>1.8234022353661012</v>
      </c>
    </row>
    <row r="229" spans="1:6">
      <c r="A229" s="11">
        <v>228</v>
      </c>
      <c r="B229" s="12">
        <v>44058</v>
      </c>
      <c r="C229" s="11">
        <v>72.616282690000006</v>
      </c>
      <c r="D229" s="11">
        <f t="shared" si="9"/>
        <v>69.944290435799999</v>
      </c>
      <c r="E229" s="11">
        <f t="shared" si="10"/>
        <v>2.6719922542000063</v>
      </c>
      <c r="F229" s="11">
        <f t="shared" si="11"/>
        <v>7.1395426065048309</v>
      </c>
    </row>
    <row r="230" spans="1:6">
      <c r="A230" s="11">
        <v>229</v>
      </c>
      <c r="B230" s="12">
        <v>44059</v>
      </c>
      <c r="C230" s="11">
        <v>72.745519090000002</v>
      </c>
      <c r="D230" s="11">
        <f t="shared" si="9"/>
        <v>71.890119863100011</v>
      </c>
      <c r="E230" s="11">
        <f t="shared" si="10"/>
        <v>0.85539922689999059</v>
      </c>
      <c r="F230" s="11">
        <f t="shared" si="11"/>
        <v>0.73170783738110157</v>
      </c>
    </row>
    <row r="231" spans="1:6">
      <c r="A231" s="11">
        <v>230</v>
      </c>
      <c r="B231" s="12">
        <v>44060</v>
      </c>
      <c r="C231" s="11">
        <v>70.352583409999994</v>
      </c>
      <c r="D231" s="11">
        <f t="shared" si="9"/>
        <v>72.0180638991</v>
      </c>
      <c r="E231" s="11">
        <f t="shared" si="10"/>
        <v>-1.6654804891000055</v>
      </c>
      <c r="F231" s="11">
        <f t="shared" si="11"/>
        <v>2.7738252595727935</v>
      </c>
    </row>
    <row r="232" spans="1:6">
      <c r="A232" s="11">
        <v>231</v>
      </c>
      <c r="B232" s="12">
        <v>44061</v>
      </c>
      <c r="C232" s="11">
        <v>69.712763929999994</v>
      </c>
      <c r="D232" s="11">
        <f t="shared" si="9"/>
        <v>69.649057575899988</v>
      </c>
      <c r="E232" s="11">
        <f t="shared" si="10"/>
        <v>6.3706354100006024E-2</v>
      </c>
      <c r="F232" s="11">
        <f t="shared" si="11"/>
        <v>4.0584995527153545E-3</v>
      </c>
    </row>
    <row r="233" spans="1:6">
      <c r="A233" s="11">
        <v>232</v>
      </c>
      <c r="B233" s="12">
        <v>44062</v>
      </c>
      <c r="C233" s="11">
        <v>70.719001320000004</v>
      </c>
      <c r="D233" s="11">
        <f t="shared" si="9"/>
        <v>69.015636290699987</v>
      </c>
      <c r="E233" s="11">
        <f t="shared" si="10"/>
        <v>1.7033650293000164</v>
      </c>
      <c r="F233" s="11">
        <f t="shared" si="11"/>
        <v>2.901452423042246</v>
      </c>
    </row>
    <row r="234" spans="1:6">
      <c r="A234" s="11">
        <v>233</v>
      </c>
      <c r="B234" s="12">
        <v>44063</v>
      </c>
      <c r="C234" s="11">
        <v>70.548173439999999</v>
      </c>
      <c r="D234" s="11">
        <f t="shared" si="9"/>
        <v>70.011811306799999</v>
      </c>
      <c r="E234" s="11">
        <f t="shared" si="10"/>
        <v>0.53636213320000081</v>
      </c>
      <c r="F234" s="11">
        <f t="shared" si="11"/>
        <v>0.2876843379308554</v>
      </c>
    </row>
    <row r="235" spans="1:6">
      <c r="A235" s="11">
        <v>234</v>
      </c>
      <c r="B235" s="12">
        <v>44064</v>
      </c>
      <c r="C235" s="11">
        <v>70.043562089999995</v>
      </c>
      <c r="D235" s="11">
        <f t="shared" si="9"/>
        <v>69.842691705600004</v>
      </c>
      <c r="E235" s="11">
        <f t="shared" si="10"/>
        <v>0.20087038439999105</v>
      </c>
      <c r="F235" s="11">
        <f t="shared" si="11"/>
        <v>4.0348911329000169E-2</v>
      </c>
    </row>
    <row r="236" spans="1:6">
      <c r="A236" s="11">
        <v>235</v>
      </c>
      <c r="B236" s="12">
        <v>44065</v>
      </c>
      <c r="C236" s="11">
        <v>69.913260159999993</v>
      </c>
      <c r="D236" s="11">
        <f t="shared" si="9"/>
        <v>69.3431264691</v>
      </c>
      <c r="E236" s="11">
        <f t="shared" si="10"/>
        <v>0.57013369089999344</v>
      </c>
      <c r="F236" s="11">
        <f t="shared" si="11"/>
        <v>0.32505242549924929</v>
      </c>
    </row>
    <row r="237" spans="1:6">
      <c r="A237" s="11">
        <v>236</v>
      </c>
      <c r="B237" s="12">
        <v>44066</v>
      </c>
      <c r="C237" s="11">
        <v>70.802164099999999</v>
      </c>
      <c r="D237" s="11">
        <f t="shared" si="9"/>
        <v>69.214127558399994</v>
      </c>
      <c r="E237" s="11">
        <f t="shared" si="10"/>
        <v>1.5880365416000046</v>
      </c>
      <c r="F237" s="11">
        <f t="shared" si="11"/>
        <v>2.521860057456903</v>
      </c>
    </row>
    <row r="238" spans="1:6">
      <c r="A238" s="11">
        <v>237</v>
      </c>
      <c r="B238" s="12">
        <v>44067</v>
      </c>
      <c r="C238" s="11">
        <v>69.658999890000004</v>
      </c>
      <c r="D238" s="11">
        <f t="shared" si="9"/>
        <v>70.094142458999997</v>
      </c>
      <c r="E238" s="11">
        <f t="shared" si="10"/>
        <v>-0.43514256899999282</v>
      </c>
      <c r="F238" s="11">
        <f t="shared" si="11"/>
        <v>0.18934905535591351</v>
      </c>
    </row>
    <row r="239" spans="1:6">
      <c r="A239" s="11">
        <v>238</v>
      </c>
      <c r="B239" s="12">
        <v>44068</v>
      </c>
      <c r="C239" s="11">
        <v>69.229081230000006</v>
      </c>
      <c r="D239" s="11">
        <f t="shared" si="9"/>
        <v>68.962409891100009</v>
      </c>
      <c r="E239" s="11">
        <f t="shared" si="10"/>
        <v>0.26667133889999661</v>
      </c>
      <c r="F239" s="11">
        <f t="shared" si="11"/>
        <v>7.111360299071684E-2</v>
      </c>
    </row>
    <row r="240" spans="1:6">
      <c r="A240" s="11">
        <v>239</v>
      </c>
      <c r="B240" s="12">
        <v>44069</v>
      </c>
      <c r="C240" s="11">
        <v>70.110181920000002</v>
      </c>
      <c r="D240" s="11">
        <f t="shared" si="9"/>
        <v>68.536790417700004</v>
      </c>
      <c r="E240" s="11">
        <f t="shared" si="10"/>
        <v>1.573391502299998</v>
      </c>
      <c r="F240" s="11">
        <f t="shared" si="11"/>
        <v>2.4755608195098446</v>
      </c>
    </row>
    <row r="241" spans="1:6">
      <c r="A241" s="11">
        <v>240</v>
      </c>
      <c r="B241" s="12">
        <v>44070</v>
      </c>
      <c r="C241" s="11">
        <v>70.608831850000001</v>
      </c>
      <c r="D241" s="11">
        <f t="shared" si="9"/>
        <v>69.409080100799997</v>
      </c>
      <c r="E241" s="11">
        <f t="shared" si="10"/>
        <v>1.1997517492000043</v>
      </c>
      <c r="F241" s="11">
        <f t="shared" si="11"/>
        <v>1.43940425970847</v>
      </c>
    </row>
    <row r="242" spans="1:6">
      <c r="A242" s="11">
        <v>241</v>
      </c>
      <c r="B242" s="12">
        <v>44071</v>
      </c>
      <c r="C242" s="11">
        <v>70.571827299999995</v>
      </c>
      <c r="D242" s="11">
        <f t="shared" si="9"/>
        <v>69.902743531500008</v>
      </c>
      <c r="E242" s="11">
        <f t="shared" si="10"/>
        <v>0.66908376849998774</v>
      </c>
      <c r="F242" s="11">
        <f t="shared" si="11"/>
        <v>0.44767308927014521</v>
      </c>
    </row>
    <row r="243" spans="1:6">
      <c r="A243" s="11">
        <v>242</v>
      </c>
      <c r="B243" s="12">
        <v>44072</v>
      </c>
      <c r="C243" s="11">
        <v>69.790645659999996</v>
      </c>
      <c r="D243" s="11">
        <f t="shared" si="9"/>
        <v>69.866109026999993</v>
      </c>
      <c r="E243" s="11">
        <f t="shared" si="10"/>
        <v>-7.5463366999997561E-2</v>
      </c>
      <c r="F243" s="11">
        <f t="shared" si="11"/>
        <v>5.694719758976321E-3</v>
      </c>
    </row>
    <row r="244" spans="1:6">
      <c r="A244" s="11">
        <v>243</v>
      </c>
      <c r="B244" s="12">
        <v>44073</v>
      </c>
      <c r="C244" s="11">
        <v>70.675374989999995</v>
      </c>
      <c r="D244" s="11">
        <f t="shared" si="9"/>
        <v>69.092739203400001</v>
      </c>
      <c r="E244" s="11">
        <f t="shared" si="10"/>
        <v>1.5826357865999938</v>
      </c>
      <c r="F244" s="11">
        <f t="shared" si="11"/>
        <v>2.504736033026981</v>
      </c>
    </row>
    <row r="245" spans="1:6">
      <c r="A245" s="11">
        <v>244</v>
      </c>
      <c r="B245" s="12">
        <v>44074</v>
      </c>
      <c r="C245" s="11">
        <v>72.601899549999999</v>
      </c>
      <c r="D245" s="11">
        <f t="shared" si="9"/>
        <v>69.968621240099992</v>
      </c>
      <c r="E245" s="11">
        <f t="shared" si="10"/>
        <v>2.6332783099000068</v>
      </c>
      <c r="F245" s="11">
        <f t="shared" si="11"/>
        <v>6.9341546573898363</v>
      </c>
    </row>
    <row r="246" spans="1:6">
      <c r="A246" s="11">
        <v>245</v>
      </c>
      <c r="B246" s="12">
        <v>44075</v>
      </c>
      <c r="C246" s="11">
        <v>71.764942719999993</v>
      </c>
      <c r="D246" s="11">
        <f t="shared" si="9"/>
        <v>71.8758805545</v>
      </c>
      <c r="E246" s="11">
        <f t="shared" si="10"/>
        <v>-0.11093783450000672</v>
      </c>
      <c r="F246" s="11">
        <f t="shared" si="11"/>
        <v>1.2307203123550881E-2</v>
      </c>
    </row>
    <row r="247" spans="1:6">
      <c r="A247" s="11">
        <v>246</v>
      </c>
      <c r="B247" s="12">
        <v>44076</v>
      </c>
      <c r="C247" s="11">
        <v>70.085219069999994</v>
      </c>
      <c r="D247" s="11">
        <f t="shared" si="9"/>
        <v>71.047293292799992</v>
      </c>
      <c r="E247" s="11">
        <f t="shared" si="10"/>
        <v>-0.96207422279999832</v>
      </c>
      <c r="F247" s="11">
        <f t="shared" si="11"/>
        <v>0.9255868101762208</v>
      </c>
    </row>
    <row r="248" spans="1:6">
      <c r="A248" s="11">
        <v>247</v>
      </c>
      <c r="B248" s="12">
        <v>44077</v>
      </c>
      <c r="C248" s="11">
        <v>70.277388909999999</v>
      </c>
      <c r="D248" s="11">
        <f t="shared" si="9"/>
        <v>69.384366879299989</v>
      </c>
      <c r="E248" s="11">
        <f t="shared" si="10"/>
        <v>0.89302203070000985</v>
      </c>
      <c r="F248" s="11">
        <f t="shared" si="11"/>
        <v>0.79748834731556939</v>
      </c>
    </row>
    <row r="249" spans="1:6">
      <c r="A249" s="11">
        <v>248</v>
      </c>
      <c r="B249" s="12">
        <v>44078</v>
      </c>
      <c r="C249" s="11">
        <v>69.601734989999997</v>
      </c>
      <c r="D249" s="11">
        <f t="shared" si="9"/>
        <v>69.574615020899998</v>
      </c>
      <c r="E249" s="11">
        <f t="shared" si="10"/>
        <v>2.7119969099999253E-2</v>
      </c>
      <c r="F249" s="11">
        <f t="shared" si="11"/>
        <v>7.3549272398491425E-4</v>
      </c>
    </row>
    <row r="250" spans="1:6">
      <c r="A250" s="11">
        <v>249</v>
      </c>
      <c r="B250" s="12">
        <v>44079</v>
      </c>
      <c r="C250" s="11">
        <v>68.928133979999998</v>
      </c>
      <c r="D250" s="11">
        <f t="shared" si="9"/>
        <v>68.905717640099994</v>
      </c>
      <c r="E250" s="11">
        <f t="shared" si="10"/>
        <v>2.24163399000048E-2</v>
      </c>
      <c r="F250" s="11">
        <f t="shared" si="11"/>
        <v>5.0249229451254727E-4</v>
      </c>
    </row>
    <row r="251" spans="1:6">
      <c r="A251" s="11">
        <v>250</v>
      </c>
      <c r="B251" s="12">
        <v>44080</v>
      </c>
      <c r="C251" s="11">
        <v>69.509168639999999</v>
      </c>
      <c r="D251" s="11">
        <f t="shared" si="9"/>
        <v>68.238852640199994</v>
      </c>
      <c r="E251" s="11">
        <f t="shared" si="10"/>
        <v>1.2703159998000046</v>
      </c>
      <c r="F251" s="11">
        <f t="shared" si="11"/>
        <v>1.6137027393478853</v>
      </c>
    </row>
    <row r="252" spans="1:6">
      <c r="A252" s="11">
        <v>251</v>
      </c>
      <c r="B252" s="12">
        <v>44081</v>
      </c>
      <c r="C252" s="11">
        <v>67.444264360000005</v>
      </c>
      <c r="D252" s="11">
        <f t="shared" si="9"/>
        <v>68.814076953599994</v>
      </c>
      <c r="E252" s="11">
        <f t="shared" si="10"/>
        <v>-1.3698125935999883</v>
      </c>
      <c r="F252" s="11">
        <f t="shared" si="11"/>
        <v>1.8763865415851266</v>
      </c>
    </row>
    <row r="253" spans="1:6">
      <c r="A253" s="11">
        <v>252</v>
      </c>
      <c r="B253" s="12">
        <v>44082</v>
      </c>
      <c r="C253" s="11">
        <v>67.459857659999997</v>
      </c>
      <c r="D253" s="11">
        <f t="shared" si="9"/>
        <v>66.769821716400003</v>
      </c>
      <c r="E253" s="11">
        <f t="shared" si="10"/>
        <v>0.69003594359999454</v>
      </c>
      <c r="F253" s="11">
        <f t="shared" si="11"/>
        <v>0.47614960345993484</v>
      </c>
    </row>
    <row r="254" spans="1:6">
      <c r="A254" s="11">
        <v>253</v>
      </c>
      <c r="B254" s="12">
        <v>44083</v>
      </c>
      <c r="C254" s="11">
        <v>68.894673429999997</v>
      </c>
      <c r="D254" s="11">
        <f t="shared" si="9"/>
        <v>66.785259083399993</v>
      </c>
      <c r="E254" s="11">
        <f t="shared" si="10"/>
        <v>2.1094143466000048</v>
      </c>
      <c r="F254" s="11">
        <f t="shared" si="11"/>
        <v>4.4496288856419248</v>
      </c>
    </row>
    <row r="255" spans="1:6">
      <c r="A255" s="11">
        <v>254</v>
      </c>
      <c r="B255" s="12">
        <v>44084</v>
      </c>
      <c r="C255" s="11">
        <v>68.745457900000005</v>
      </c>
      <c r="D255" s="11">
        <f t="shared" si="9"/>
        <v>68.205726695699994</v>
      </c>
      <c r="E255" s="11">
        <f t="shared" si="10"/>
        <v>0.53973120430001131</v>
      </c>
      <c r="F255" s="11">
        <f t="shared" si="11"/>
        <v>0.29130977289514054</v>
      </c>
    </row>
    <row r="256" spans="1:6">
      <c r="A256" s="11">
        <v>255</v>
      </c>
      <c r="B256" s="12">
        <v>44085</v>
      </c>
      <c r="C256" s="11">
        <v>68.546229609999997</v>
      </c>
      <c r="D256" s="11">
        <f t="shared" si="9"/>
        <v>68.058003321000001</v>
      </c>
      <c r="E256" s="11">
        <f t="shared" si="10"/>
        <v>0.48822628899999643</v>
      </c>
      <c r="F256" s="11">
        <f t="shared" si="11"/>
        <v>0.23836490927070803</v>
      </c>
    </row>
    <row r="257" spans="1:6">
      <c r="A257" s="11">
        <v>256</v>
      </c>
      <c r="B257" s="12">
        <v>44086</v>
      </c>
      <c r="C257" s="11">
        <v>69.067352060000005</v>
      </c>
      <c r="D257" s="11">
        <f t="shared" si="9"/>
        <v>67.860767313899998</v>
      </c>
      <c r="E257" s="11">
        <f t="shared" si="10"/>
        <v>1.2065847461000061</v>
      </c>
      <c r="F257" s="11">
        <f t="shared" si="11"/>
        <v>1.4558467495212162</v>
      </c>
    </row>
    <row r="258" spans="1:6">
      <c r="A258" s="11">
        <v>257</v>
      </c>
      <c r="B258" s="12">
        <v>44087</v>
      </c>
      <c r="C258" s="11">
        <v>68.233577060000002</v>
      </c>
      <c r="D258" s="11">
        <f t="shared" si="9"/>
        <v>68.376678539400004</v>
      </c>
      <c r="E258" s="11">
        <f t="shared" si="10"/>
        <v>-0.14310147940000206</v>
      </c>
      <c r="F258" s="11">
        <f t="shared" si="11"/>
        <v>2.0478033406469216E-2</v>
      </c>
    </row>
    <row r="259" spans="1:6">
      <c r="A259" s="11">
        <v>258</v>
      </c>
      <c r="B259" s="12">
        <v>44088</v>
      </c>
      <c r="C259" s="11">
        <v>68.813868819999996</v>
      </c>
      <c r="D259" s="11">
        <f t="shared" ref="D259:D322" si="12">0.99 * C258</f>
        <v>67.551241289399997</v>
      </c>
      <c r="E259" s="11">
        <f t="shared" ref="E259:E322" si="13">C259-D259</f>
        <v>1.2626275305999997</v>
      </c>
      <c r="F259" s="11">
        <f t="shared" ref="F259:F322" si="14">E259^2</f>
        <v>1.5942282810290531</v>
      </c>
    </row>
    <row r="260" spans="1:6">
      <c r="A260" s="11">
        <v>259</v>
      </c>
      <c r="B260" s="12">
        <v>44089</v>
      </c>
      <c r="C260" s="11">
        <v>69.282978009999994</v>
      </c>
      <c r="D260" s="11">
        <f t="shared" si="12"/>
        <v>68.125730131799997</v>
      </c>
      <c r="E260" s="11">
        <f t="shared" si="13"/>
        <v>1.1572478781999962</v>
      </c>
      <c r="F260" s="11">
        <f t="shared" si="14"/>
        <v>1.3392226515983932</v>
      </c>
    </row>
    <row r="261" spans="1:6">
      <c r="A261" s="11">
        <v>260</v>
      </c>
      <c r="B261" s="12">
        <v>44090</v>
      </c>
      <c r="C261" s="11">
        <v>69.951031369999995</v>
      </c>
      <c r="D261" s="11">
        <f t="shared" si="12"/>
        <v>68.590148229899995</v>
      </c>
      <c r="E261" s="11">
        <f t="shared" si="13"/>
        <v>1.3608831401000003</v>
      </c>
      <c r="F261" s="11">
        <f t="shared" si="14"/>
        <v>1.8520029210084372</v>
      </c>
    </row>
    <row r="262" spans="1:6">
      <c r="A262" s="11">
        <v>261</v>
      </c>
      <c r="B262" s="12">
        <v>44091</v>
      </c>
      <c r="C262" s="11">
        <v>71.339909449999993</v>
      </c>
      <c r="D262" s="11">
        <f t="shared" si="12"/>
        <v>69.251521056299993</v>
      </c>
      <c r="E262" s="11">
        <f t="shared" si="13"/>
        <v>2.0883883937000007</v>
      </c>
      <c r="F262" s="11">
        <f t="shared" si="14"/>
        <v>4.3613660829408696</v>
      </c>
    </row>
    <row r="263" spans="1:6">
      <c r="A263" s="11">
        <v>262</v>
      </c>
      <c r="B263" s="12">
        <v>44092</v>
      </c>
      <c r="C263" s="11">
        <v>70.991140669999993</v>
      </c>
      <c r="D263" s="11">
        <f t="shared" si="12"/>
        <v>70.626510355499988</v>
      </c>
      <c r="E263" s="11">
        <f t="shared" si="13"/>
        <v>0.36463031450000472</v>
      </c>
      <c r="F263" s="11">
        <f t="shared" si="14"/>
        <v>0.13295526625237236</v>
      </c>
    </row>
    <row r="264" spans="1:6">
      <c r="A264" s="11">
        <v>263</v>
      </c>
      <c r="B264" s="12">
        <v>44093</v>
      </c>
      <c r="C264" s="11">
        <v>70.213773590000002</v>
      </c>
      <c r="D264" s="11">
        <f t="shared" si="12"/>
        <v>70.281229263299991</v>
      </c>
      <c r="E264" s="11">
        <f t="shared" si="13"/>
        <v>-6.7455673299988916E-2</v>
      </c>
      <c r="F264" s="11">
        <f t="shared" si="14"/>
        <v>4.5502678603548379E-3</v>
      </c>
    </row>
    <row r="265" spans="1:6">
      <c r="A265" s="11">
        <v>264</v>
      </c>
      <c r="B265" s="12">
        <v>44094</v>
      </c>
      <c r="C265" s="11">
        <v>69.930376409999994</v>
      </c>
      <c r="D265" s="11">
        <f t="shared" si="12"/>
        <v>69.511635854100007</v>
      </c>
      <c r="E265" s="11">
        <f t="shared" si="13"/>
        <v>0.41874055589998704</v>
      </c>
      <c r="F265" s="11">
        <f t="shared" si="14"/>
        <v>0.17534365315543018</v>
      </c>
    </row>
    <row r="266" spans="1:6">
      <c r="A266" s="11">
        <v>265</v>
      </c>
      <c r="B266" s="12">
        <v>44095</v>
      </c>
      <c r="C266" s="11">
        <v>70.121486540000006</v>
      </c>
      <c r="D266" s="11">
        <f t="shared" si="12"/>
        <v>69.231072645899999</v>
      </c>
      <c r="E266" s="11">
        <f t="shared" si="13"/>
        <v>0.89041389410000704</v>
      </c>
      <c r="F266" s="11">
        <f t="shared" si="14"/>
        <v>0.79283690280633856</v>
      </c>
    </row>
    <row r="267" spans="1:6">
      <c r="A267" s="11">
        <v>266</v>
      </c>
      <c r="B267" s="12">
        <v>44096</v>
      </c>
      <c r="C267" s="11">
        <v>69.077040350000004</v>
      </c>
      <c r="D267" s="11">
        <f t="shared" si="12"/>
        <v>69.420271674600002</v>
      </c>
      <c r="E267" s="11">
        <f t="shared" si="13"/>
        <v>-0.34323132459999783</v>
      </c>
      <c r="F267" s="11">
        <f t="shared" si="14"/>
        <v>0.11780774218666908</v>
      </c>
    </row>
    <row r="268" spans="1:6">
      <c r="A268" s="11">
        <v>267</v>
      </c>
      <c r="B268" s="12">
        <v>44097</v>
      </c>
      <c r="C268" s="11">
        <v>69.295002920000002</v>
      </c>
      <c r="D268" s="11">
        <f t="shared" si="12"/>
        <v>68.386269946500008</v>
      </c>
      <c r="E268" s="11">
        <f t="shared" si="13"/>
        <v>0.90873297349999405</v>
      </c>
      <c r="F268" s="11">
        <f t="shared" si="14"/>
        <v>0.82579561712614091</v>
      </c>
    </row>
    <row r="269" spans="1:6">
      <c r="A269" s="11">
        <v>268</v>
      </c>
      <c r="B269" s="12">
        <v>44098</v>
      </c>
      <c r="C269" s="11">
        <v>70.162640890000006</v>
      </c>
      <c r="D269" s="11">
        <f t="shared" si="12"/>
        <v>68.602052890799996</v>
      </c>
      <c r="E269" s="11">
        <f t="shared" si="13"/>
        <v>1.5605879992000098</v>
      </c>
      <c r="F269" s="11">
        <f t="shared" si="14"/>
        <v>2.4354349032470899</v>
      </c>
    </row>
    <row r="270" spans="1:6">
      <c r="A270" s="11">
        <v>269</v>
      </c>
      <c r="B270" s="12">
        <v>44099</v>
      </c>
      <c r="C270" s="11">
        <v>68.938323670000003</v>
      </c>
      <c r="D270" s="11">
        <f t="shared" si="12"/>
        <v>69.461014481100008</v>
      </c>
      <c r="E270" s="11">
        <f t="shared" si="13"/>
        <v>-0.5226908111000057</v>
      </c>
      <c r="F270" s="11">
        <f t="shared" si="14"/>
        <v>0.27320568400838185</v>
      </c>
    </row>
    <row r="271" spans="1:6">
      <c r="A271" s="11">
        <v>270</v>
      </c>
      <c r="B271" s="12">
        <v>44100</v>
      </c>
      <c r="C271" s="11">
        <v>70.179854860000006</v>
      </c>
      <c r="D271" s="11">
        <f t="shared" si="12"/>
        <v>68.248940433300007</v>
      </c>
      <c r="E271" s="11">
        <f t="shared" si="13"/>
        <v>1.9309144266999994</v>
      </c>
      <c r="F271" s="11">
        <f t="shared" si="14"/>
        <v>3.7284305232381874</v>
      </c>
    </row>
    <row r="272" spans="1:6">
      <c r="A272" s="11">
        <v>271</v>
      </c>
      <c r="B272" s="12">
        <v>44101</v>
      </c>
      <c r="C272" s="11">
        <v>71.507791850000004</v>
      </c>
      <c r="D272" s="11">
        <f t="shared" si="12"/>
        <v>69.47805631140001</v>
      </c>
      <c r="E272" s="11">
        <f t="shared" si="13"/>
        <v>2.0297355385999936</v>
      </c>
      <c r="F272" s="11">
        <f t="shared" si="14"/>
        <v>4.119826356655806</v>
      </c>
    </row>
    <row r="273" spans="1:6">
      <c r="A273" s="11">
        <v>272</v>
      </c>
      <c r="B273" s="12">
        <v>44102</v>
      </c>
      <c r="C273" s="11">
        <v>70.219342659999995</v>
      </c>
      <c r="D273" s="11">
        <f t="shared" si="12"/>
        <v>70.792713931500003</v>
      </c>
      <c r="E273" s="11">
        <f t="shared" si="13"/>
        <v>-0.57337127150000811</v>
      </c>
      <c r="F273" s="11">
        <f t="shared" si="14"/>
        <v>0.32875461498153602</v>
      </c>
    </row>
    <row r="274" spans="1:6">
      <c r="A274" s="11">
        <v>273</v>
      </c>
      <c r="B274" s="12">
        <v>44103</v>
      </c>
      <c r="C274" s="11">
        <v>69.437930249999994</v>
      </c>
      <c r="D274" s="11">
        <f t="shared" si="12"/>
        <v>69.517149233399991</v>
      </c>
      <c r="E274" s="11">
        <f t="shared" si="13"/>
        <v>-7.9218983399997001E-2</v>
      </c>
      <c r="F274" s="11">
        <f t="shared" si="14"/>
        <v>6.275647330929E-3</v>
      </c>
    </row>
    <row r="275" spans="1:6">
      <c r="A275" s="11">
        <v>274</v>
      </c>
      <c r="B275" s="12">
        <v>44104</v>
      </c>
      <c r="C275" s="11">
        <v>68.718765009999998</v>
      </c>
      <c r="D275" s="11">
        <f t="shared" si="12"/>
        <v>68.743550947499998</v>
      </c>
      <c r="E275" s="11">
        <f t="shared" si="13"/>
        <v>-2.4785937499999022E-2</v>
      </c>
      <c r="F275" s="11">
        <f t="shared" si="14"/>
        <v>6.1434269775385777E-4</v>
      </c>
    </row>
    <row r="276" spans="1:6">
      <c r="A276" s="11">
        <v>275</v>
      </c>
      <c r="B276" s="12">
        <v>44105</v>
      </c>
      <c r="C276" s="11">
        <v>70.099260409999999</v>
      </c>
      <c r="D276" s="11">
        <f t="shared" si="12"/>
        <v>68.031577359899998</v>
      </c>
      <c r="E276" s="11">
        <f t="shared" si="13"/>
        <v>2.0676830501000012</v>
      </c>
      <c r="F276" s="11">
        <f t="shared" si="14"/>
        <v>4.2753131956708437</v>
      </c>
    </row>
    <row r="277" spans="1:6">
      <c r="A277" s="11">
        <v>276</v>
      </c>
      <c r="B277" s="12">
        <v>44106</v>
      </c>
      <c r="C277" s="11">
        <v>69.382704459999999</v>
      </c>
      <c r="D277" s="11">
        <f t="shared" si="12"/>
        <v>69.398267805900005</v>
      </c>
      <c r="E277" s="11">
        <f t="shared" si="13"/>
        <v>-1.5563345900005743E-2</v>
      </c>
      <c r="F277" s="11">
        <f t="shared" si="14"/>
        <v>2.4221773560322555E-4</v>
      </c>
    </row>
    <row r="278" spans="1:6">
      <c r="A278" s="11">
        <v>277</v>
      </c>
      <c r="B278" s="12">
        <v>44107</v>
      </c>
      <c r="C278" s="11">
        <v>69.377367539999995</v>
      </c>
      <c r="D278" s="11">
        <f t="shared" si="12"/>
        <v>68.6888774154</v>
      </c>
      <c r="E278" s="11">
        <f t="shared" si="13"/>
        <v>0.68849012459999415</v>
      </c>
      <c r="F278" s="11">
        <f t="shared" si="14"/>
        <v>0.47401865167171547</v>
      </c>
    </row>
    <row r="279" spans="1:6">
      <c r="A279" s="11">
        <v>278</v>
      </c>
      <c r="B279" s="12">
        <v>44108</v>
      </c>
      <c r="C279" s="11">
        <v>68.952689280000001</v>
      </c>
      <c r="D279" s="11">
        <f t="shared" si="12"/>
        <v>68.683593864599999</v>
      </c>
      <c r="E279" s="11">
        <f t="shared" si="13"/>
        <v>0.26909541540000248</v>
      </c>
      <c r="F279" s="11">
        <f t="shared" si="14"/>
        <v>7.2412342589299891E-2</v>
      </c>
    </row>
    <row r="280" spans="1:6">
      <c r="A280" s="11">
        <v>279</v>
      </c>
      <c r="B280" s="12">
        <v>44109</v>
      </c>
      <c r="C280" s="11">
        <v>69.609357579999994</v>
      </c>
      <c r="D280" s="11">
        <f t="shared" si="12"/>
        <v>68.263162387199998</v>
      </c>
      <c r="E280" s="11">
        <f t="shared" si="13"/>
        <v>1.3461951927999962</v>
      </c>
      <c r="F280" s="11">
        <f t="shared" si="14"/>
        <v>1.8122414971178189</v>
      </c>
    </row>
    <row r="281" spans="1:6">
      <c r="A281" s="11">
        <v>280</v>
      </c>
      <c r="B281" s="12">
        <v>44110</v>
      </c>
      <c r="C281" s="11">
        <v>68.285578490000006</v>
      </c>
      <c r="D281" s="11">
        <f t="shared" si="12"/>
        <v>68.913264004199988</v>
      </c>
      <c r="E281" s="11">
        <f t="shared" si="13"/>
        <v>-0.62768551419998175</v>
      </c>
      <c r="F281" s="11">
        <f t="shared" si="14"/>
        <v>0.39398910473649551</v>
      </c>
    </row>
    <row r="282" spans="1:6">
      <c r="A282" s="11">
        <v>281</v>
      </c>
      <c r="B282" s="12">
        <v>44111</v>
      </c>
      <c r="C282" s="11">
        <v>70.415001459999999</v>
      </c>
      <c r="D282" s="11">
        <f t="shared" si="12"/>
        <v>67.602722705100007</v>
      </c>
      <c r="E282" s="11">
        <f t="shared" si="13"/>
        <v>2.8122787548999924</v>
      </c>
      <c r="F282" s="11">
        <f t="shared" si="14"/>
        <v>7.9089117952618508</v>
      </c>
    </row>
    <row r="283" spans="1:6">
      <c r="A283" s="11">
        <v>282</v>
      </c>
      <c r="B283" s="12">
        <v>44112</v>
      </c>
      <c r="C283" s="11">
        <v>69.79872091</v>
      </c>
      <c r="D283" s="11">
        <f t="shared" si="12"/>
        <v>69.710851445399996</v>
      </c>
      <c r="E283" s="11">
        <f t="shared" si="13"/>
        <v>8.7869464600004221E-2</v>
      </c>
      <c r="F283" s="11">
        <f t="shared" si="14"/>
        <v>7.7210428090913946E-3</v>
      </c>
    </row>
    <row r="284" spans="1:6">
      <c r="A284" s="11">
        <v>283</v>
      </c>
      <c r="B284" s="12">
        <v>44113</v>
      </c>
      <c r="C284" s="11">
        <v>69.814626790000005</v>
      </c>
      <c r="D284" s="11">
        <f t="shared" si="12"/>
        <v>69.100733700899994</v>
      </c>
      <c r="E284" s="11">
        <f t="shared" si="13"/>
        <v>0.71389308910001148</v>
      </c>
      <c r="F284" s="11">
        <f t="shared" si="14"/>
        <v>0.50964334266475697</v>
      </c>
    </row>
    <row r="285" spans="1:6">
      <c r="A285" s="11">
        <v>284</v>
      </c>
      <c r="B285" s="12">
        <v>44114</v>
      </c>
      <c r="C285" s="11">
        <v>69.736636759999996</v>
      </c>
      <c r="D285" s="11">
        <f t="shared" si="12"/>
        <v>69.116480522100005</v>
      </c>
      <c r="E285" s="11">
        <f t="shared" si="13"/>
        <v>0.62015623789999097</v>
      </c>
      <c r="F285" s="11">
        <f t="shared" si="14"/>
        <v>0.38459375940627022</v>
      </c>
    </row>
    <row r="286" spans="1:6">
      <c r="A286" s="11">
        <v>285</v>
      </c>
      <c r="B286" s="12">
        <v>44115</v>
      </c>
      <c r="C286" s="11">
        <v>69.135479509999996</v>
      </c>
      <c r="D286" s="11">
        <f t="shared" si="12"/>
        <v>69.039270392399999</v>
      </c>
      <c r="E286" s="11">
        <f t="shared" si="13"/>
        <v>9.6209117599997285E-2</v>
      </c>
      <c r="F286" s="11">
        <f t="shared" si="14"/>
        <v>9.2561943093701065E-3</v>
      </c>
    </row>
    <row r="287" spans="1:6">
      <c r="A287" s="11">
        <v>286</v>
      </c>
      <c r="B287" s="12">
        <v>44116</v>
      </c>
      <c r="C287" s="11">
        <v>68.672516540000004</v>
      </c>
      <c r="D287" s="11">
        <f t="shared" si="12"/>
        <v>68.444124714899999</v>
      </c>
      <c r="E287" s="11">
        <f t="shared" si="13"/>
        <v>0.22839182510000455</v>
      </c>
      <c r="F287" s="11">
        <f t="shared" si="14"/>
        <v>5.2162825772511072E-2</v>
      </c>
    </row>
    <row r="288" spans="1:6">
      <c r="A288" s="11">
        <v>287</v>
      </c>
      <c r="B288" s="12">
        <v>44117</v>
      </c>
      <c r="C288" s="11">
        <v>70.399264619999997</v>
      </c>
      <c r="D288" s="11">
        <f t="shared" si="12"/>
        <v>67.985791374599998</v>
      </c>
      <c r="E288" s="11">
        <f t="shared" si="13"/>
        <v>2.4134732453999987</v>
      </c>
      <c r="F288" s="11">
        <f t="shared" si="14"/>
        <v>5.8248531062616022</v>
      </c>
    </row>
    <row r="289" spans="1:6">
      <c r="A289" s="11">
        <v>288</v>
      </c>
      <c r="B289" s="12">
        <v>44118</v>
      </c>
      <c r="C289" s="11">
        <v>70.112163210000006</v>
      </c>
      <c r="D289" s="11">
        <f t="shared" si="12"/>
        <v>69.69527197379999</v>
      </c>
      <c r="E289" s="11">
        <f t="shared" si="13"/>
        <v>0.41689123620001567</v>
      </c>
      <c r="F289" s="11">
        <f t="shared" si="14"/>
        <v>0.17379830282037725</v>
      </c>
    </row>
    <row r="290" spans="1:6">
      <c r="A290" s="11">
        <v>289</v>
      </c>
      <c r="B290" s="12">
        <v>44119</v>
      </c>
      <c r="C290" s="11">
        <v>70.218688729999997</v>
      </c>
      <c r="D290" s="11">
        <f t="shared" si="12"/>
        <v>69.411041577900008</v>
      </c>
      <c r="E290" s="11">
        <f t="shared" si="13"/>
        <v>0.80764715209998883</v>
      </c>
      <c r="F290" s="11">
        <f t="shared" si="14"/>
        <v>0.65229392229522254</v>
      </c>
    </row>
    <row r="291" spans="1:6">
      <c r="A291" s="11">
        <v>290</v>
      </c>
      <c r="B291" s="12">
        <v>44120</v>
      </c>
      <c r="C291" s="11">
        <v>69.296067390000005</v>
      </c>
      <c r="D291" s="11">
        <f t="shared" si="12"/>
        <v>69.516501842699995</v>
      </c>
      <c r="E291" s="11">
        <f t="shared" si="13"/>
        <v>-0.2204344526999904</v>
      </c>
      <c r="F291" s="11">
        <f t="shared" si="14"/>
        <v>4.8591347937144307E-2</v>
      </c>
    </row>
    <row r="292" spans="1:6">
      <c r="A292" s="11">
        <v>291</v>
      </c>
      <c r="B292" s="12">
        <v>44121</v>
      </c>
      <c r="C292" s="11">
        <v>68.864852380000002</v>
      </c>
      <c r="D292" s="11">
        <f t="shared" si="12"/>
        <v>68.603106716100001</v>
      </c>
      <c r="E292" s="11">
        <f t="shared" si="13"/>
        <v>0.26174566390000109</v>
      </c>
      <c r="F292" s="11">
        <f t="shared" si="14"/>
        <v>6.8510792570452339E-2</v>
      </c>
    </row>
    <row r="293" spans="1:6">
      <c r="A293" s="11">
        <v>292</v>
      </c>
      <c r="B293" s="12">
        <v>44122</v>
      </c>
      <c r="C293" s="11">
        <v>70.002338359999996</v>
      </c>
      <c r="D293" s="11">
        <f t="shared" si="12"/>
        <v>68.176203856200004</v>
      </c>
      <c r="E293" s="11">
        <f t="shared" si="13"/>
        <v>1.8261345037999916</v>
      </c>
      <c r="F293" s="11">
        <f t="shared" si="14"/>
        <v>3.3347672259688417</v>
      </c>
    </row>
    <row r="294" spans="1:6">
      <c r="A294" s="11">
        <v>293</v>
      </c>
      <c r="B294" s="12">
        <v>44123</v>
      </c>
      <c r="C294" s="11">
        <v>71.2723558</v>
      </c>
      <c r="D294" s="11">
        <f t="shared" si="12"/>
        <v>69.302314976399998</v>
      </c>
      <c r="E294" s="11">
        <f t="shared" si="13"/>
        <v>1.9700408236000015</v>
      </c>
      <c r="F294" s="11">
        <f t="shared" si="14"/>
        <v>3.8810608466505725</v>
      </c>
    </row>
    <row r="295" spans="1:6">
      <c r="A295" s="11">
        <v>294</v>
      </c>
      <c r="B295" s="12">
        <v>44124</v>
      </c>
      <c r="C295" s="11">
        <v>70.587395569999998</v>
      </c>
      <c r="D295" s="11">
        <f t="shared" si="12"/>
        <v>70.559632241999992</v>
      </c>
      <c r="E295" s="11">
        <f t="shared" si="13"/>
        <v>2.7763328000006027E-2</v>
      </c>
      <c r="F295" s="11">
        <f t="shared" si="14"/>
        <v>7.7080238163591862E-4</v>
      </c>
    </row>
    <row r="296" spans="1:6">
      <c r="A296" s="11">
        <v>295</v>
      </c>
      <c r="B296" s="12">
        <v>44125</v>
      </c>
      <c r="C296" s="11">
        <v>68.54881073</v>
      </c>
      <c r="D296" s="11">
        <f t="shared" si="12"/>
        <v>69.881521614299999</v>
      </c>
      <c r="E296" s="11">
        <f t="shared" si="13"/>
        <v>-1.3327108842999991</v>
      </c>
      <c r="F296" s="11">
        <f t="shared" si="14"/>
        <v>1.7761183011316855</v>
      </c>
    </row>
    <row r="297" spans="1:6">
      <c r="A297" s="11">
        <v>296</v>
      </c>
      <c r="B297" s="12">
        <v>44126</v>
      </c>
      <c r="C297" s="11">
        <v>70.951023849999999</v>
      </c>
      <c r="D297" s="11">
        <f t="shared" si="12"/>
        <v>67.863322622699997</v>
      </c>
      <c r="E297" s="11">
        <f t="shared" si="13"/>
        <v>3.087701227300002</v>
      </c>
      <c r="F297" s="11">
        <f t="shared" si="14"/>
        <v>9.5338988690699384</v>
      </c>
    </row>
    <row r="298" spans="1:6">
      <c r="A298" s="11">
        <v>297</v>
      </c>
      <c r="B298" s="12">
        <v>44127</v>
      </c>
      <c r="C298" s="11">
        <v>70.149421779999997</v>
      </c>
      <c r="D298" s="11">
        <f t="shared" si="12"/>
        <v>70.241513611499997</v>
      </c>
      <c r="E298" s="11">
        <f t="shared" si="13"/>
        <v>-9.2091831499999444E-2</v>
      </c>
      <c r="F298" s="11">
        <f t="shared" si="14"/>
        <v>8.4809054290242904E-3</v>
      </c>
    </row>
    <row r="299" spans="1:6">
      <c r="A299" s="11">
        <v>298</v>
      </c>
      <c r="B299" s="12">
        <v>44128</v>
      </c>
      <c r="C299" s="11">
        <v>68.262758509999998</v>
      </c>
      <c r="D299" s="11">
        <f t="shared" si="12"/>
        <v>69.447927562199993</v>
      </c>
      <c r="E299" s="11">
        <f t="shared" si="13"/>
        <v>-1.1851690521999956</v>
      </c>
      <c r="F299" s="11">
        <f t="shared" si="14"/>
        <v>1.4046256822926357</v>
      </c>
    </row>
    <row r="300" spans="1:6">
      <c r="A300" s="11">
        <v>299</v>
      </c>
      <c r="B300" s="12">
        <v>44129</v>
      </c>
      <c r="C300" s="11">
        <v>71.507253160000005</v>
      </c>
      <c r="D300" s="11">
        <f t="shared" si="12"/>
        <v>67.58013092489999</v>
      </c>
      <c r="E300" s="11">
        <f t="shared" si="13"/>
        <v>3.9271222351000148</v>
      </c>
      <c r="F300" s="11">
        <f t="shared" si="14"/>
        <v>15.422289049416936</v>
      </c>
    </row>
    <row r="301" spans="1:6">
      <c r="A301" s="11">
        <v>300</v>
      </c>
      <c r="B301" s="12">
        <v>44130</v>
      </c>
      <c r="C301" s="11">
        <v>71.021492050000006</v>
      </c>
      <c r="D301" s="11">
        <f t="shared" si="12"/>
        <v>70.792180628400004</v>
      </c>
      <c r="E301" s="11">
        <f t="shared" si="13"/>
        <v>0.22931142160000206</v>
      </c>
      <c r="F301" s="11">
        <f t="shared" si="14"/>
        <v>5.2583728076213893E-2</v>
      </c>
    </row>
    <row r="302" spans="1:6">
      <c r="A302" s="11">
        <v>301</v>
      </c>
      <c r="B302" s="12">
        <v>44131</v>
      </c>
      <c r="C302" s="11">
        <v>68.698986590000004</v>
      </c>
      <c r="D302" s="11">
        <f t="shared" si="12"/>
        <v>70.311277129499999</v>
      </c>
      <c r="E302" s="11">
        <f t="shared" si="13"/>
        <v>-1.6122905394999947</v>
      </c>
      <c r="F302" s="11">
        <f t="shared" si="14"/>
        <v>2.5994807837611837</v>
      </c>
    </row>
    <row r="303" spans="1:6">
      <c r="A303" s="11">
        <v>302</v>
      </c>
      <c r="B303" s="12">
        <v>44132</v>
      </c>
      <c r="C303" s="11">
        <v>68.229504570000003</v>
      </c>
      <c r="D303" s="11">
        <f t="shared" si="12"/>
        <v>68.011996724100001</v>
      </c>
      <c r="E303" s="11">
        <f t="shared" si="13"/>
        <v>0.21750784590000194</v>
      </c>
      <c r="F303" s="11">
        <f t="shared" si="14"/>
        <v>4.7309663028058987E-2</v>
      </c>
    </row>
    <row r="304" spans="1:6">
      <c r="A304" s="11">
        <v>303</v>
      </c>
      <c r="B304" s="12">
        <v>44133</v>
      </c>
      <c r="C304" s="11">
        <v>69.695551660000007</v>
      </c>
      <c r="D304" s="11">
        <f t="shared" si="12"/>
        <v>67.547209524300001</v>
      </c>
      <c r="E304" s="11">
        <f t="shared" si="13"/>
        <v>2.1483421357000054</v>
      </c>
      <c r="F304" s="11">
        <f t="shared" si="14"/>
        <v>4.6153739320240605</v>
      </c>
    </row>
    <row r="305" spans="1:6">
      <c r="A305" s="11">
        <v>304</v>
      </c>
      <c r="B305" s="12">
        <v>44134</v>
      </c>
      <c r="C305" s="11">
        <v>70.538791180000004</v>
      </c>
      <c r="D305" s="11">
        <f t="shared" si="12"/>
        <v>68.998596143400007</v>
      </c>
      <c r="E305" s="11">
        <f t="shared" si="13"/>
        <v>1.5401950365999966</v>
      </c>
      <c r="F305" s="11">
        <f t="shared" si="14"/>
        <v>2.3722007507672647</v>
      </c>
    </row>
    <row r="306" spans="1:6">
      <c r="A306" s="11">
        <v>305</v>
      </c>
      <c r="B306" s="12">
        <v>44135</v>
      </c>
      <c r="C306" s="11">
        <v>69.562880010000001</v>
      </c>
      <c r="D306" s="11">
        <f t="shared" si="12"/>
        <v>69.833403268200001</v>
      </c>
      <c r="E306" s="11">
        <f t="shared" si="13"/>
        <v>-0.27052325820000078</v>
      </c>
      <c r="F306" s="11">
        <f t="shared" si="14"/>
        <v>7.3182833227144292E-2</v>
      </c>
    </row>
    <row r="307" spans="1:6">
      <c r="A307" s="11">
        <v>306</v>
      </c>
      <c r="B307" s="12">
        <v>44136</v>
      </c>
      <c r="C307" s="11">
        <v>71.398814250000001</v>
      </c>
      <c r="D307" s="11">
        <f t="shared" si="12"/>
        <v>68.867251209900004</v>
      </c>
      <c r="E307" s="11">
        <f t="shared" si="13"/>
        <v>2.5315630400999964</v>
      </c>
      <c r="F307" s="11">
        <f t="shared" si="14"/>
        <v>6.4088114260003364</v>
      </c>
    </row>
    <row r="308" spans="1:6">
      <c r="A308" s="11">
        <v>307</v>
      </c>
      <c r="B308" s="12">
        <v>44137</v>
      </c>
      <c r="C308" s="11">
        <v>70.448844870000002</v>
      </c>
      <c r="D308" s="11">
        <f t="shared" si="12"/>
        <v>70.684826107500001</v>
      </c>
      <c r="E308" s="11">
        <f t="shared" si="13"/>
        <v>-0.235981237499999</v>
      </c>
      <c r="F308" s="11">
        <f t="shared" si="14"/>
        <v>5.5687144452030934E-2</v>
      </c>
    </row>
    <row r="309" spans="1:6">
      <c r="A309" s="11">
        <v>308</v>
      </c>
      <c r="B309" s="12">
        <v>44138</v>
      </c>
      <c r="C309" s="11">
        <v>68.664976060000001</v>
      </c>
      <c r="D309" s="11">
        <f t="shared" si="12"/>
        <v>69.744356421299997</v>
      </c>
      <c r="E309" s="11">
        <f t="shared" si="13"/>
        <v>-1.0793803612999966</v>
      </c>
      <c r="F309" s="11">
        <f t="shared" si="14"/>
        <v>1.1650619643601112</v>
      </c>
    </row>
    <row r="310" spans="1:6">
      <c r="A310" s="11">
        <v>309</v>
      </c>
      <c r="B310" s="12">
        <v>44139</v>
      </c>
      <c r="C310" s="11">
        <v>70.025025569999997</v>
      </c>
      <c r="D310" s="11">
        <f t="shared" si="12"/>
        <v>67.978326299399995</v>
      </c>
      <c r="E310" s="11">
        <f t="shared" si="13"/>
        <v>2.0466992706000013</v>
      </c>
      <c r="F310" s="11">
        <f t="shared" si="14"/>
        <v>4.1889779042745774</v>
      </c>
    </row>
    <row r="311" spans="1:6">
      <c r="A311" s="11">
        <v>310</v>
      </c>
      <c r="B311" s="12">
        <v>44140</v>
      </c>
      <c r="C311" s="11">
        <v>71.744585369999996</v>
      </c>
      <c r="D311" s="11">
        <f t="shared" si="12"/>
        <v>69.324775314299998</v>
      </c>
      <c r="E311" s="11">
        <f t="shared" si="13"/>
        <v>2.4198100556999975</v>
      </c>
      <c r="F311" s="11">
        <f t="shared" si="14"/>
        <v>5.8554807056668254</v>
      </c>
    </row>
    <row r="312" spans="1:6">
      <c r="A312" s="11">
        <v>311</v>
      </c>
      <c r="B312" s="12">
        <v>44141</v>
      </c>
      <c r="C312" s="11">
        <v>70.221750450000002</v>
      </c>
      <c r="D312" s="11">
        <f t="shared" si="12"/>
        <v>71.027139516299997</v>
      </c>
      <c r="E312" s="11">
        <f t="shared" si="13"/>
        <v>-0.80538906629999474</v>
      </c>
      <c r="F312" s="11">
        <f t="shared" si="14"/>
        <v>0.64865154811557735</v>
      </c>
    </row>
    <row r="313" spans="1:6">
      <c r="A313" s="11">
        <v>312</v>
      </c>
      <c r="B313" s="12">
        <v>44142</v>
      </c>
      <c r="C313" s="11">
        <v>68.208327370000006</v>
      </c>
      <c r="D313" s="11">
        <f t="shared" si="12"/>
        <v>69.519532945500004</v>
      </c>
      <c r="E313" s="11">
        <f t="shared" si="13"/>
        <v>-1.3112055754999972</v>
      </c>
      <c r="F313" s="11">
        <f t="shared" si="14"/>
        <v>1.7192600612222788</v>
      </c>
    </row>
    <row r="314" spans="1:6">
      <c r="A314" s="11">
        <v>313</v>
      </c>
      <c r="B314" s="12">
        <v>44143</v>
      </c>
      <c r="C314" s="11">
        <v>69.888909549999994</v>
      </c>
      <c r="D314" s="11">
        <f t="shared" si="12"/>
        <v>67.526244096300005</v>
      </c>
      <c r="E314" s="11">
        <f t="shared" si="13"/>
        <v>2.3626654536999894</v>
      </c>
      <c r="F314" s="11">
        <f t="shared" si="14"/>
        <v>5.582188046107377</v>
      </c>
    </row>
    <row r="315" spans="1:6">
      <c r="A315" s="11">
        <v>314</v>
      </c>
      <c r="B315" s="12">
        <v>44144</v>
      </c>
      <c r="C315" s="11">
        <v>68.42352391</v>
      </c>
      <c r="D315" s="11">
        <f t="shared" si="12"/>
        <v>69.190020454499987</v>
      </c>
      <c r="E315" s="11">
        <f t="shared" si="13"/>
        <v>-0.7664965444999865</v>
      </c>
      <c r="F315" s="11">
        <f t="shared" si="14"/>
        <v>0.58751695273041982</v>
      </c>
    </row>
    <row r="316" spans="1:6">
      <c r="A316" s="11">
        <v>315</v>
      </c>
      <c r="B316" s="12">
        <v>44145</v>
      </c>
      <c r="C316" s="11">
        <v>67.860819820000003</v>
      </c>
      <c r="D316" s="11">
        <f t="shared" si="12"/>
        <v>67.739288670899995</v>
      </c>
      <c r="E316" s="11">
        <f t="shared" si="13"/>
        <v>0.12153114910000795</v>
      </c>
      <c r="F316" s="11">
        <f t="shared" si="14"/>
        <v>1.4769820201568364E-2</v>
      </c>
    </row>
    <row r="317" spans="1:6">
      <c r="A317" s="11">
        <v>316</v>
      </c>
      <c r="B317" s="12">
        <v>44146</v>
      </c>
      <c r="C317" s="11">
        <v>70.156880869999995</v>
      </c>
      <c r="D317" s="11">
        <f t="shared" si="12"/>
        <v>67.182211621800008</v>
      </c>
      <c r="E317" s="11">
        <f t="shared" si="13"/>
        <v>2.9746692481999872</v>
      </c>
      <c r="F317" s="11">
        <f t="shared" si="14"/>
        <v>8.8486571361866773</v>
      </c>
    </row>
    <row r="318" spans="1:6">
      <c r="A318" s="11">
        <v>317</v>
      </c>
      <c r="B318" s="12">
        <v>44147</v>
      </c>
      <c r="C318" s="11">
        <v>70.68053003</v>
      </c>
      <c r="D318" s="11">
        <f t="shared" si="12"/>
        <v>69.455312061299992</v>
      </c>
      <c r="E318" s="11">
        <f t="shared" si="13"/>
        <v>1.225217968700008</v>
      </c>
      <c r="F318" s="11">
        <f t="shared" si="14"/>
        <v>1.5011590708253737</v>
      </c>
    </row>
    <row r="319" spans="1:6">
      <c r="A319" s="11">
        <v>318</v>
      </c>
      <c r="B319" s="12">
        <v>44148</v>
      </c>
      <c r="C319" s="11">
        <v>70.097316410000005</v>
      </c>
      <c r="D319" s="11">
        <f t="shared" si="12"/>
        <v>69.973724729699995</v>
      </c>
      <c r="E319" s="11">
        <f t="shared" si="13"/>
        <v>0.12359168030000944</v>
      </c>
      <c r="F319" s="11">
        <f t="shared" si="14"/>
        <v>1.5274903439379742E-2</v>
      </c>
    </row>
    <row r="320" spans="1:6">
      <c r="A320" s="11">
        <v>319</v>
      </c>
      <c r="B320" s="12">
        <v>44149</v>
      </c>
      <c r="C320" s="11">
        <v>70.207047439999997</v>
      </c>
      <c r="D320" s="11">
        <f t="shared" si="12"/>
        <v>69.396343245899999</v>
      </c>
      <c r="E320" s="11">
        <f t="shared" si="13"/>
        <v>0.81070419409999772</v>
      </c>
      <c r="F320" s="11">
        <f t="shared" si="14"/>
        <v>0.65724129033132683</v>
      </c>
    </row>
    <row r="321" spans="1:6">
      <c r="A321" s="11">
        <v>320</v>
      </c>
      <c r="B321" s="12">
        <v>44150</v>
      </c>
      <c r="C321" s="11">
        <v>69.942259120000003</v>
      </c>
      <c r="D321" s="11">
        <f t="shared" si="12"/>
        <v>69.504976965599994</v>
      </c>
      <c r="E321" s="11">
        <f t="shared" si="13"/>
        <v>0.43728215440000895</v>
      </c>
      <c r="F321" s="11">
        <f t="shared" si="14"/>
        <v>0.19121568255671326</v>
      </c>
    </row>
    <row r="322" spans="1:6">
      <c r="A322" s="11">
        <v>321</v>
      </c>
      <c r="B322" s="12">
        <v>44151</v>
      </c>
      <c r="C322" s="11">
        <v>68.604554519999994</v>
      </c>
      <c r="D322" s="11">
        <f t="shared" si="12"/>
        <v>69.242836528799998</v>
      </c>
      <c r="E322" s="11">
        <f t="shared" si="13"/>
        <v>-0.63828200880000452</v>
      </c>
      <c r="F322" s="11">
        <f t="shared" si="14"/>
        <v>0.40740392275776904</v>
      </c>
    </row>
    <row r="323" spans="1:6">
      <c r="A323" s="11">
        <v>322</v>
      </c>
      <c r="B323" s="12">
        <v>44152</v>
      </c>
      <c r="C323" s="11">
        <v>70.45613032</v>
      </c>
      <c r="D323" s="11">
        <f t="shared" ref="D323:D386" si="15">0.99 * C322</f>
        <v>67.918508974799991</v>
      </c>
      <c r="E323" s="11">
        <f t="shared" ref="E323:E386" si="16">C323-D323</f>
        <v>2.5376213452000087</v>
      </c>
      <c r="F323" s="11">
        <f t="shared" ref="F323:F386" si="17">E323^2</f>
        <v>6.4395220916147018</v>
      </c>
    </row>
    <row r="324" spans="1:6">
      <c r="A324" s="11">
        <v>323</v>
      </c>
      <c r="B324" s="12">
        <v>44153</v>
      </c>
      <c r="C324" s="11">
        <v>72.017325889999995</v>
      </c>
      <c r="D324" s="11">
        <f t="shared" si="15"/>
        <v>69.751569016800005</v>
      </c>
      <c r="E324" s="11">
        <f t="shared" si="16"/>
        <v>2.2657568731999902</v>
      </c>
      <c r="F324" s="11">
        <f t="shared" si="17"/>
        <v>5.1336542084529961</v>
      </c>
    </row>
    <row r="325" spans="1:6">
      <c r="A325" s="11">
        <v>324</v>
      </c>
      <c r="B325" s="12">
        <v>44154</v>
      </c>
      <c r="C325" s="11">
        <v>71.278889000000007</v>
      </c>
      <c r="D325" s="11">
        <f t="shared" si="15"/>
        <v>71.297152631099991</v>
      </c>
      <c r="E325" s="11">
        <f t="shared" si="16"/>
        <v>-1.8263631099983968E-2</v>
      </c>
      <c r="F325" s="11">
        <f t="shared" si="17"/>
        <v>3.3356022095630159E-4</v>
      </c>
    </row>
    <row r="326" spans="1:6">
      <c r="A326" s="11">
        <v>325</v>
      </c>
      <c r="B326" s="12">
        <v>44155</v>
      </c>
      <c r="C326" s="11">
        <v>70.207269650000001</v>
      </c>
      <c r="D326" s="11">
        <f t="shared" si="15"/>
        <v>70.566100110000008</v>
      </c>
      <c r="E326" s="11">
        <f t="shared" si="16"/>
        <v>-0.35883046000000718</v>
      </c>
      <c r="F326" s="11">
        <f t="shared" si="17"/>
        <v>0.12875929902381675</v>
      </c>
    </row>
    <row r="327" spans="1:6">
      <c r="A327" s="11">
        <v>326</v>
      </c>
      <c r="B327" s="12">
        <v>44156</v>
      </c>
      <c r="C327" s="11">
        <v>72.080319900000006</v>
      </c>
      <c r="D327" s="11">
        <f t="shared" si="15"/>
        <v>69.505196953500004</v>
      </c>
      <c r="E327" s="11">
        <f t="shared" si="16"/>
        <v>2.5751229465000023</v>
      </c>
      <c r="F327" s="11">
        <f t="shared" si="17"/>
        <v>6.631258189590854</v>
      </c>
    </row>
    <row r="328" spans="1:6">
      <c r="A328" s="11">
        <v>327</v>
      </c>
      <c r="B328" s="12">
        <v>44157</v>
      </c>
      <c r="C328" s="11">
        <v>70.909578199999999</v>
      </c>
      <c r="D328" s="11">
        <f t="shared" si="15"/>
        <v>71.359516701000004</v>
      </c>
      <c r="E328" s="11">
        <f t="shared" si="16"/>
        <v>-0.44993850100000543</v>
      </c>
      <c r="F328" s="11">
        <f t="shared" si="17"/>
        <v>0.20244465468213188</v>
      </c>
    </row>
    <row r="329" spans="1:6">
      <c r="A329" s="11">
        <v>328</v>
      </c>
      <c r="B329" s="12">
        <v>44158</v>
      </c>
      <c r="C329" s="11">
        <v>69.662073969999994</v>
      </c>
      <c r="D329" s="11">
        <f t="shared" si="15"/>
        <v>70.200482417999993</v>
      </c>
      <c r="E329" s="11">
        <f t="shared" si="16"/>
        <v>-0.53840844799999843</v>
      </c>
      <c r="F329" s="11">
        <f t="shared" si="17"/>
        <v>0.28988365687776702</v>
      </c>
    </row>
    <row r="330" spans="1:6">
      <c r="A330" s="11">
        <v>329</v>
      </c>
      <c r="B330" s="12">
        <v>44159</v>
      </c>
      <c r="C330" s="11">
        <v>69.888852170000007</v>
      </c>
      <c r="D330" s="11">
        <f t="shared" si="15"/>
        <v>68.9654532303</v>
      </c>
      <c r="E330" s="11">
        <f t="shared" si="16"/>
        <v>0.9233989397000073</v>
      </c>
      <c r="F330" s="11">
        <f t="shared" si="17"/>
        <v>0.85266560183909768</v>
      </c>
    </row>
    <row r="331" spans="1:6">
      <c r="A331" s="11">
        <v>330</v>
      </c>
      <c r="B331" s="12">
        <v>44160</v>
      </c>
      <c r="C331" s="11">
        <v>71.50601107</v>
      </c>
      <c r="D331" s="11">
        <f t="shared" si="15"/>
        <v>69.189963648300008</v>
      </c>
      <c r="E331" s="11">
        <f t="shared" si="16"/>
        <v>2.3160474216999916</v>
      </c>
      <c r="F331" s="11">
        <f t="shared" si="17"/>
        <v>5.3640756595631789</v>
      </c>
    </row>
    <row r="332" spans="1:6">
      <c r="A332" s="11">
        <v>331</v>
      </c>
      <c r="B332" s="12">
        <v>44161</v>
      </c>
      <c r="C332" s="11">
        <v>72.529721739999999</v>
      </c>
      <c r="D332" s="11">
        <f t="shared" si="15"/>
        <v>70.790950959300005</v>
      </c>
      <c r="E332" s="11">
        <f t="shared" si="16"/>
        <v>1.7387707806999941</v>
      </c>
      <c r="F332" s="11">
        <f t="shared" si="17"/>
        <v>3.0233238278160672</v>
      </c>
    </row>
    <row r="333" spans="1:6">
      <c r="A333" s="11">
        <v>332</v>
      </c>
      <c r="B333" s="12">
        <v>44162</v>
      </c>
      <c r="C333" s="11">
        <v>70.80745709</v>
      </c>
      <c r="D333" s="11">
        <f t="shared" si="15"/>
        <v>71.804424522600002</v>
      </c>
      <c r="E333" s="11">
        <f t="shared" si="16"/>
        <v>-0.99696743260000176</v>
      </c>
      <c r="F333" s="11">
        <f t="shared" si="17"/>
        <v>0.99394406166503901</v>
      </c>
    </row>
    <row r="334" spans="1:6">
      <c r="A334" s="11">
        <v>333</v>
      </c>
      <c r="B334" s="12">
        <v>44163</v>
      </c>
      <c r="C334" s="11">
        <v>70.03388898</v>
      </c>
      <c r="D334" s="11">
        <f t="shared" si="15"/>
        <v>70.099382519100004</v>
      </c>
      <c r="E334" s="11">
        <f t="shared" si="16"/>
        <v>-6.5493539100003773E-2</v>
      </c>
      <c r="F334" s="11">
        <f t="shared" si="17"/>
        <v>4.2894036638437228E-3</v>
      </c>
    </row>
    <row r="335" spans="1:6">
      <c r="A335" s="11">
        <v>334</v>
      </c>
      <c r="B335" s="12">
        <v>44164</v>
      </c>
      <c r="C335" s="11">
        <v>68.400012790000005</v>
      </c>
      <c r="D335" s="11">
        <f t="shared" si="15"/>
        <v>69.333550090200006</v>
      </c>
      <c r="E335" s="11">
        <f t="shared" si="16"/>
        <v>-0.93353730020000114</v>
      </c>
      <c r="F335" s="11">
        <f t="shared" si="17"/>
        <v>0.87149189086470702</v>
      </c>
    </row>
    <row r="336" spans="1:6">
      <c r="A336" s="11">
        <v>335</v>
      </c>
      <c r="B336" s="12">
        <v>44165</v>
      </c>
      <c r="C336" s="11">
        <v>68.71786487</v>
      </c>
      <c r="D336" s="11">
        <f t="shared" si="15"/>
        <v>67.716012662099999</v>
      </c>
      <c r="E336" s="11">
        <f t="shared" si="16"/>
        <v>1.0018522079000007</v>
      </c>
      <c r="F336" s="11">
        <f t="shared" si="17"/>
        <v>1.0037078464741063</v>
      </c>
    </row>
    <row r="337" spans="1:6">
      <c r="A337" s="11">
        <v>336</v>
      </c>
      <c r="B337" s="12">
        <v>44166</v>
      </c>
      <c r="C337" s="11">
        <v>68.870424689999993</v>
      </c>
      <c r="D337" s="11">
        <f t="shared" si="15"/>
        <v>68.030686221300002</v>
      </c>
      <c r="E337" s="11">
        <f t="shared" si="16"/>
        <v>0.83973846869999136</v>
      </c>
      <c r="F337" s="11">
        <f t="shared" si="17"/>
        <v>0.70516069581460639</v>
      </c>
    </row>
    <row r="338" spans="1:6">
      <c r="A338" s="11">
        <v>337</v>
      </c>
      <c r="B338" s="12">
        <v>44167</v>
      </c>
      <c r="C338" s="11">
        <v>68.700063599999993</v>
      </c>
      <c r="D338" s="11">
        <f t="shared" si="15"/>
        <v>68.181720443099991</v>
      </c>
      <c r="E338" s="11">
        <f t="shared" si="16"/>
        <v>0.5183431569000021</v>
      </c>
      <c r="F338" s="11">
        <f t="shared" si="17"/>
        <v>0.2686796283050602</v>
      </c>
    </row>
    <row r="339" spans="1:6">
      <c r="A339" s="11">
        <v>338</v>
      </c>
      <c r="B339" s="12">
        <v>44168</v>
      </c>
      <c r="C339" s="11">
        <v>71.240487470000005</v>
      </c>
      <c r="D339" s="11">
        <f t="shared" si="15"/>
        <v>68.013062963999985</v>
      </c>
      <c r="E339" s="11">
        <f t="shared" si="16"/>
        <v>3.2274245060000197</v>
      </c>
      <c r="F339" s="11">
        <f t="shared" si="17"/>
        <v>10.416268941929472</v>
      </c>
    </row>
    <row r="340" spans="1:6">
      <c r="A340" s="11">
        <v>339</v>
      </c>
      <c r="B340" s="12">
        <v>44169</v>
      </c>
      <c r="C340" s="11">
        <v>70.341986739999996</v>
      </c>
      <c r="D340" s="11">
        <f t="shared" si="15"/>
        <v>70.528082595300006</v>
      </c>
      <c r="E340" s="11">
        <f t="shared" si="16"/>
        <v>-0.18609585530001027</v>
      </c>
      <c r="F340" s="11">
        <f t="shared" si="17"/>
        <v>3.4631667359842362E-2</v>
      </c>
    </row>
    <row r="341" spans="1:6">
      <c r="A341" s="11">
        <v>340</v>
      </c>
      <c r="B341" s="12">
        <v>44170</v>
      </c>
      <c r="C341" s="11">
        <v>69.301439900000005</v>
      </c>
      <c r="D341" s="11">
        <f t="shared" si="15"/>
        <v>69.638566872599995</v>
      </c>
      <c r="E341" s="11">
        <f t="shared" si="16"/>
        <v>-0.33712697259998947</v>
      </c>
      <c r="F341" s="11">
        <f t="shared" si="17"/>
        <v>0.11365459565443405</v>
      </c>
    </row>
    <row r="342" spans="1:6">
      <c r="A342" s="11">
        <v>341</v>
      </c>
      <c r="B342" s="12">
        <v>44171</v>
      </c>
      <c r="C342" s="11">
        <v>69.844116700000001</v>
      </c>
      <c r="D342" s="11">
        <f t="shared" si="15"/>
        <v>68.608425500999999</v>
      </c>
      <c r="E342" s="11">
        <f t="shared" si="16"/>
        <v>1.2356911990000015</v>
      </c>
      <c r="F342" s="11">
        <f t="shared" si="17"/>
        <v>1.5269327392860612</v>
      </c>
    </row>
    <row r="343" spans="1:6">
      <c r="A343" s="11">
        <v>342</v>
      </c>
      <c r="B343" s="12">
        <v>44172</v>
      </c>
      <c r="C343" s="11">
        <v>71.413863320000004</v>
      </c>
      <c r="D343" s="11">
        <f t="shared" si="15"/>
        <v>69.145675533000002</v>
      </c>
      <c r="E343" s="11">
        <f t="shared" si="16"/>
        <v>2.2681877870000022</v>
      </c>
      <c r="F343" s="11">
        <f t="shared" si="17"/>
        <v>5.1446758370959671</v>
      </c>
    </row>
    <row r="344" spans="1:6">
      <c r="A344" s="11">
        <v>343</v>
      </c>
      <c r="B344" s="12">
        <v>44173</v>
      </c>
      <c r="C344" s="11">
        <v>71.376198110000004</v>
      </c>
      <c r="D344" s="11">
        <f t="shared" si="15"/>
        <v>70.69972468680001</v>
      </c>
      <c r="E344" s="11">
        <f t="shared" si="16"/>
        <v>0.67647342319999382</v>
      </c>
      <c r="F344" s="11">
        <f t="shared" si="17"/>
        <v>0.45761629229591794</v>
      </c>
    </row>
    <row r="345" spans="1:6">
      <c r="A345" s="11">
        <v>344</v>
      </c>
      <c r="B345" s="12">
        <v>44174</v>
      </c>
      <c r="C345" s="11">
        <v>73.160914980000001</v>
      </c>
      <c r="D345" s="11">
        <f t="shared" si="15"/>
        <v>70.662436128899998</v>
      </c>
      <c r="E345" s="11">
        <f t="shared" si="16"/>
        <v>2.4984788511000033</v>
      </c>
      <c r="F345" s="11">
        <f t="shared" si="17"/>
        <v>6.2423965693939927</v>
      </c>
    </row>
    <row r="346" spans="1:6">
      <c r="A346" s="11">
        <v>345</v>
      </c>
      <c r="B346" s="12">
        <v>44175</v>
      </c>
      <c r="C346" s="11">
        <v>71.409021580000001</v>
      </c>
      <c r="D346" s="11">
        <f t="shared" si="15"/>
        <v>72.429305830199993</v>
      </c>
      <c r="E346" s="11">
        <f t="shared" si="16"/>
        <v>-1.0202842501999925</v>
      </c>
      <c r="F346" s="11">
        <f t="shared" si="17"/>
        <v>1.0409799512061608</v>
      </c>
    </row>
    <row r="347" spans="1:6">
      <c r="A347" s="11">
        <v>346</v>
      </c>
      <c r="B347" s="12">
        <v>44176</v>
      </c>
      <c r="C347" s="11">
        <v>70.155854890000001</v>
      </c>
      <c r="D347" s="11">
        <f t="shared" si="15"/>
        <v>70.694931364200002</v>
      </c>
      <c r="E347" s="11">
        <f t="shared" si="16"/>
        <v>-0.5390764742000016</v>
      </c>
      <c r="F347" s="11">
        <f t="shared" si="17"/>
        <v>0.29060344503590496</v>
      </c>
    </row>
    <row r="348" spans="1:6">
      <c r="A348" s="11">
        <v>347</v>
      </c>
      <c r="B348" s="12">
        <v>44177</v>
      </c>
      <c r="C348" s="11">
        <v>69.946407140000005</v>
      </c>
      <c r="D348" s="11">
        <f t="shared" si="15"/>
        <v>69.454296341100004</v>
      </c>
      <c r="E348" s="11">
        <f t="shared" si="16"/>
        <v>0.49211079890000065</v>
      </c>
      <c r="F348" s="11">
        <f t="shared" si="17"/>
        <v>0.24217303839399687</v>
      </c>
    </row>
    <row r="349" spans="1:6">
      <c r="A349" s="11">
        <v>348</v>
      </c>
      <c r="B349" s="12">
        <v>44178</v>
      </c>
      <c r="C349" s="11">
        <v>71.356137200000006</v>
      </c>
      <c r="D349" s="11">
        <f t="shared" si="15"/>
        <v>69.246943068600004</v>
      </c>
      <c r="E349" s="11">
        <f t="shared" si="16"/>
        <v>2.1091941314000024</v>
      </c>
      <c r="F349" s="11">
        <f t="shared" si="17"/>
        <v>4.4486998839322105</v>
      </c>
    </row>
    <row r="350" spans="1:6">
      <c r="A350" s="11">
        <v>349</v>
      </c>
      <c r="B350" s="12">
        <v>44179</v>
      </c>
      <c r="C350" s="11">
        <v>71.336999129999995</v>
      </c>
      <c r="D350" s="11">
        <f t="shared" si="15"/>
        <v>70.642575828000005</v>
      </c>
      <c r="E350" s="11">
        <f t="shared" si="16"/>
        <v>0.69442330199998992</v>
      </c>
      <c r="F350" s="11">
        <f t="shared" si="17"/>
        <v>0.48222372236056921</v>
      </c>
    </row>
    <row r="351" spans="1:6">
      <c r="A351" s="11">
        <v>350</v>
      </c>
      <c r="B351" s="12">
        <v>44180</v>
      </c>
      <c r="C351" s="11">
        <v>70.279128619999994</v>
      </c>
      <c r="D351" s="11">
        <f t="shared" si="15"/>
        <v>70.623629138699997</v>
      </c>
      <c r="E351" s="11">
        <f t="shared" si="16"/>
        <v>-0.34450051870000209</v>
      </c>
      <c r="F351" s="11">
        <f t="shared" si="17"/>
        <v>0.11868060738457049</v>
      </c>
    </row>
    <row r="352" spans="1:6">
      <c r="A352" s="11">
        <v>351</v>
      </c>
      <c r="B352" s="12">
        <v>44181</v>
      </c>
      <c r="C352" s="11">
        <v>68.81888884</v>
      </c>
      <c r="D352" s="11">
        <f t="shared" si="15"/>
        <v>69.576337333799998</v>
      </c>
      <c r="E352" s="11">
        <f t="shared" si="16"/>
        <v>-0.75744849379999835</v>
      </c>
      <c r="F352" s="11">
        <f t="shared" si="17"/>
        <v>0.57372822075988616</v>
      </c>
    </row>
    <row r="353" spans="1:6">
      <c r="A353" s="11">
        <v>352</v>
      </c>
      <c r="B353" s="12">
        <v>44182</v>
      </c>
      <c r="C353" s="11">
        <v>69.452038169999994</v>
      </c>
      <c r="D353" s="11">
        <f t="shared" si="15"/>
        <v>68.130699951599993</v>
      </c>
      <c r="E353" s="11">
        <f t="shared" si="16"/>
        <v>1.3213382184000011</v>
      </c>
      <c r="F353" s="11">
        <f t="shared" si="17"/>
        <v>1.745934687404489</v>
      </c>
    </row>
    <row r="354" spans="1:6">
      <c r="A354" s="11">
        <v>353</v>
      </c>
      <c r="B354" s="12">
        <v>44183</v>
      </c>
      <c r="C354" s="11">
        <v>71.426901079999993</v>
      </c>
      <c r="D354" s="11">
        <f t="shared" si="15"/>
        <v>68.757517788299992</v>
      </c>
      <c r="E354" s="11">
        <f t="shared" si="16"/>
        <v>2.6693832917000009</v>
      </c>
      <c r="F354" s="11">
        <f t="shared" si="17"/>
        <v>7.1256071580071323</v>
      </c>
    </row>
    <row r="355" spans="1:6">
      <c r="A355" s="11">
        <v>354</v>
      </c>
      <c r="B355" s="12">
        <v>44184</v>
      </c>
      <c r="C355" s="11">
        <v>70.610147400000002</v>
      </c>
      <c r="D355" s="11">
        <f t="shared" si="15"/>
        <v>70.712632069199998</v>
      </c>
      <c r="E355" s="11">
        <f t="shared" si="16"/>
        <v>-0.10248466919999544</v>
      </c>
      <c r="F355" s="11">
        <f t="shared" si="17"/>
        <v>1.0503107421032493E-2</v>
      </c>
    </row>
    <row r="356" spans="1:6">
      <c r="A356" s="11">
        <v>355</v>
      </c>
      <c r="B356" s="12">
        <v>44185</v>
      </c>
      <c r="C356" s="11">
        <v>70.466961740000002</v>
      </c>
      <c r="D356" s="11">
        <f t="shared" si="15"/>
        <v>69.904045925999995</v>
      </c>
      <c r="E356" s="11">
        <f t="shared" si="16"/>
        <v>0.56291581400000723</v>
      </c>
      <c r="F356" s="11">
        <f t="shared" si="17"/>
        <v>0.31687421365129076</v>
      </c>
    </row>
    <row r="357" spans="1:6">
      <c r="A357" s="11">
        <v>356</v>
      </c>
      <c r="B357" s="12">
        <v>44186</v>
      </c>
      <c r="C357" s="11">
        <v>70.343280609999994</v>
      </c>
      <c r="D357" s="11">
        <f t="shared" si="15"/>
        <v>69.762292122600002</v>
      </c>
      <c r="E357" s="11">
        <f t="shared" si="16"/>
        <v>0.58098848739999198</v>
      </c>
      <c r="F357" s="11">
        <f t="shared" si="17"/>
        <v>0.33754762249133063</v>
      </c>
    </row>
    <row r="358" spans="1:6">
      <c r="A358" s="11">
        <v>357</v>
      </c>
      <c r="B358" s="12">
        <v>44187</v>
      </c>
      <c r="C358" s="11">
        <v>70.929399500000002</v>
      </c>
      <c r="D358" s="11">
        <f t="shared" si="15"/>
        <v>69.639847803899997</v>
      </c>
      <c r="E358" s="11">
        <f t="shared" si="16"/>
        <v>1.2895516961000055</v>
      </c>
      <c r="F358" s="11">
        <f t="shared" si="17"/>
        <v>1.662943576914401</v>
      </c>
    </row>
    <row r="359" spans="1:6">
      <c r="A359" s="11">
        <v>358</v>
      </c>
      <c r="B359" s="12">
        <v>44188</v>
      </c>
      <c r="C359" s="11">
        <v>69.649901779999993</v>
      </c>
      <c r="D359" s="11">
        <f t="shared" si="15"/>
        <v>70.220105505000006</v>
      </c>
      <c r="E359" s="11">
        <f t="shared" si="16"/>
        <v>-0.57020372500001315</v>
      </c>
      <c r="F359" s="11">
        <f t="shared" si="17"/>
        <v>0.3251322880038906</v>
      </c>
    </row>
    <row r="360" spans="1:6">
      <c r="A360" s="11">
        <v>359</v>
      </c>
      <c r="B360" s="12">
        <v>44189</v>
      </c>
      <c r="C360" s="11">
        <v>71.857768250000007</v>
      </c>
      <c r="D360" s="11">
        <f t="shared" si="15"/>
        <v>68.9534027622</v>
      </c>
      <c r="E360" s="11">
        <f t="shared" si="16"/>
        <v>2.9043654878000069</v>
      </c>
      <c r="F360" s="11">
        <f t="shared" si="17"/>
        <v>8.4353388867237715</v>
      </c>
    </row>
    <row r="361" spans="1:6">
      <c r="A361" s="11">
        <v>360</v>
      </c>
      <c r="B361" s="12">
        <v>44190</v>
      </c>
      <c r="C361" s="11">
        <v>69.940529310000002</v>
      </c>
      <c r="D361" s="11">
        <f t="shared" si="15"/>
        <v>71.139190567500009</v>
      </c>
      <c r="E361" s="11">
        <f t="shared" si="16"/>
        <v>-1.1986612575000066</v>
      </c>
      <c r="F361" s="11">
        <f t="shared" si="17"/>
        <v>1.4367888102314972</v>
      </c>
    </row>
    <row r="362" spans="1:6">
      <c r="A362" s="11">
        <v>361</v>
      </c>
      <c r="B362" s="12">
        <v>44191</v>
      </c>
      <c r="C362" s="11">
        <v>69.041436020000006</v>
      </c>
      <c r="D362" s="11">
        <f t="shared" si="15"/>
        <v>69.241124016900002</v>
      </c>
      <c r="E362" s="11">
        <f t="shared" si="16"/>
        <v>-0.19968799689999628</v>
      </c>
      <c r="F362" s="11">
        <f t="shared" si="17"/>
        <v>3.9875296105932927E-2</v>
      </c>
    </row>
    <row r="363" spans="1:6">
      <c r="A363" s="11">
        <v>362</v>
      </c>
      <c r="B363" s="12">
        <v>44192</v>
      </c>
      <c r="C363" s="11">
        <v>70.380795359999993</v>
      </c>
      <c r="D363" s="11">
        <f t="shared" si="15"/>
        <v>68.351021659800011</v>
      </c>
      <c r="E363" s="11">
        <f t="shared" si="16"/>
        <v>2.029773700199982</v>
      </c>
      <c r="F363" s="11">
        <f t="shared" si="17"/>
        <v>4.1199812740235267</v>
      </c>
    </row>
    <row r="364" spans="1:6">
      <c r="A364" s="11">
        <v>363</v>
      </c>
      <c r="B364" s="12">
        <v>44193</v>
      </c>
      <c r="C364" s="11">
        <v>70.812779579999997</v>
      </c>
      <c r="D364" s="11">
        <f t="shared" si="15"/>
        <v>69.676987406399988</v>
      </c>
      <c r="E364" s="11">
        <f t="shared" si="16"/>
        <v>1.1357921736000094</v>
      </c>
      <c r="F364" s="11">
        <f t="shared" si="17"/>
        <v>1.2900238616110338</v>
      </c>
    </row>
    <row r="365" spans="1:6">
      <c r="A365" s="11">
        <v>364</v>
      </c>
      <c r="B365" s="12">
        <v>44194</v>
      </c>
      <c r="C365" s="11">
        <v>71.203415300000003</v>
      </c>
      <c r="D365" s="11">
        <f t="shared" si="15"/>
        <v>70.104651784200001</v>
      </c>
      <c r="E365" s="11">
        <f t="shared" si="16"/>
        <v>1.0987635158000018</v>
      </c>
      <c r="F365" s="11">
        <f t="shared" si="17"/>
        <v>1.2072812636531807</v>
      </c>
    </row>
    <row r="366" spans="1:6">
      <c r="A366" s="11">
        <v>365</v>
      </c>
      <c r="B366" s="12">
        <v>44195</v>
      </c>
      <c r="C366" s="11">
        <v>69.982112970000003</v>
      </c>
      <c r="D366" s="11">
        <f t="shared" si="15"/>
        <v>70.491381146999998</v>
      </c>
      <c r="E366" s="11">
        <f t="shared" si="16"/>
        <v>-0.5092681769999956</v>
      </c>
      <c r="F366" s="11">
        <f t="shared" si="17"/>
        <v>0.25935407610489886</v>
      </c>
    </row>
    <row r="367" spans="1:6">
      <c r="A367" s="11">
        <v>366</v>
      </c>
      <c r="B367" s="12">
        <v>44196</v>
      </c>
      <c r="C367" s="11">
        <v>69.553438209999996</v>
      </c>
      <c r="D367" s="11">
        <f t="shared" si="15"/>
        <v>69.282291840300005</v>
      </c>
      <c r="E367" s="11">
        <f t="shared" si="16"/>
        <v>0.2711463696999914</v>
      </c>
      <c r="F367" s="11">
        <f t="shared" si="17"/>
        <v>7.3520353801484417E-2</v>
      </c>
    </row>
    <row r="368" spans="1:6">
      <c r="A368" s="11">
        <v>367</v>
      </c>
      <c r="B368" s="12">
        <v>44197</v>
      </c>
      <c r="C368" s="11">
        <v>69.749661020000005</v>
      </c>
      <c r="D368" s="11">
        <f t="shared" si="15"/>
        <v>68.857903827899989</v>
      </c>
      <c r="E368" s="11">
        <f t="shared" si="16"/>
        <v>0.89175719210001603</v>
      </c>
      <c r="F368" s="11">
        <f t="shared" si="17"/>
        <v>0.79523088966210487</v>
      </c>
    </row>
    <row r="369" spans="1:6">
      <c r="A369" s="11">
        <v>368</v>
      </c>
      <c r="B369" s="12">
        <v>44198</v>
      </c>
      <c r="C369" s="11">
        <v>71.55302476</v>
      </c>
      <c r="D369" s="11">
        <f t="shared" si="15"/>
        <v>69.0521644098</v>
      </c>
      <c r="E369" s="11">
        <f t="shared" si="16"/>
        <v>2.5008603502</v>
      </c>
      <c r="F369" s="11">
        <f t="shared" si="17"/>
        <v>6.2543024912024663</v>
      </c>
    </row>
    <row r="370" spans="1:6">
      <c r="A370" s="11">
        <v>369</v>
      </c>
      <c r="B370" s="12">
        <v>44199</v>
      </c>
      <c r="C370" s="11">
        <v>71.697345580000004</v>
      </c>
      <c r="D370" s="11">
        <f t="shared" si="15"/>
        <v>70.837494512399999</v>
      </c>
      <c r="E370" s="11">
        <f t="shared" si="16"/>
        <v>0.85985106760000463</v>
      </c>
      <c r="F370" s="11">
        <f t="shared" si="17"/>
        <v>0.73934385845286776</v>
      </c>
    </row>
    <row r="371" spans="1:6">
      <c r="A371" s="11">
        <v>370</v>
      </c>
      <c r="B371" s="12">
        <v>44200</v>
      </c>
      <c r="C371" s="11">
        <v>71.349172030000005</v>
      </c>
      <c r="D371" s="11">
        <f t="shared" si="15"/>
        <v>70.980372124200002</v>
      </c>
      <c r="E371" s="11">
        <f t="shared" si="16"/>
        <v>0.3687999058000031</v>
      </c>
      <c r="F371" s="11">
        <f t="shared" si="17"/>
        <v>0.13601337051809118</v>
      </c>
    </row>
    <row r="372" spans="1:6">
      <c r="A372" s="11">
        <v>371</v>
      </c>
      <c r="B372" s="12">
        <v>44201</v>
      </c>
      <c r="C372" s="11">
        <v>69.642373449999994</v>
      </c>
      <c r="D372" s="11">
        <f t="shared" si="15"/>
        <v>70.635680309700007</v>
      </c>
      <c r="E372" s="11">
        <f t="shared" si="16"/>
        <v>-0.99330685970001298</v>
      </c>
      <c r="F372" s="11">
        <f t="shared" si="17"/>
        <v>0.98665851752710132</v>
      </c>
    </row>
    <row r="373" spans="1:6">
      <c r="A373" s="11">
        <v>372</v>
      </c>
      <c r="B373" s="12">
        <v>44202</v>
      </c>
      <c r="C373" s="11">
        <v>70.349555100000003</v>
      </c>
      <c r="D373" s="11">
        <f t="shared" si="15"/>
        <v>68.945949715499992</v>
      </c>
      <c r="E373" s="11">
        <f t="shared" si="16"/>
        <v>1.4036053845000112</v>
      </c>
      <c r="F373" s="11">
        <f t="shared" si="17"/>
        <v>1.9701080753974241</v>
      </c>
    </row>
    <row r="374" spans="1:6">
      <c r="A374" s="11">
        <v>373</v>
      </c>
      <c r="B374" s="12">
        <v>44203</v>
      </c>
      <c r="C374" s="11">
        <v>70.542602689999995</v>
      </c>
      <c r="D374" s="11">
        <f t="shared" si="15"/>
        <v>69.646059549</v>
      </c>
      <c r="E374" s="11">
        <f t="shared" si="16"/>
        <v>0.8965431409999951</v>
      </c>
      <c r="F374" s="11">
        <f t="shared" si="17"/>
        <v>0.8037896036741371</v>
      </c>
    </row>
    <row r="375" spans="1:6">
      <c r="A375" s="11">
        <v>374</v>
      </c>
      <c r="B375" s="12">
        <v>44204</v>
      </c>
      <c r="C375" s="11">
        <v>71.609840399999996</v>
      </c>
      <c r="D375" s="11">
        <f t="shared" si="15"/>
        <v>69.837176663099996</v>
      </c>
      <c r="E375" s="11">
        <f t="shared" si="16"/>
        <v>1.7726637369000002</v>
      </c>
      <c r="F375" s="11">
        <f t="shared" si="17"/>
        <v>3.1423367241202733</v>
      </c>
    </row>
    <row r="376" spans="1:6">
      <c r="A376" s="11">
        <v>375</v>
      </c>
      <c r="B376" s="12">
        <v>44205</v>
      </c>
      <c r="C376" s="11">
        <v>72.817183589999999</v>
      </c>
      <c r="D376" s="11">
        <f t="shared" si="15"/>
        <v>70.893741995999989</v>
      </c>
      <c r="E376" s="11">
        <f t="shared" si="16"/>
        <v>1.9234415940000105</v>
      </c>
      <c r="F376" s="11">
        <f t="shared" si="17"/>
        <v>3.6996275655293012</v>
      </c>
    </row>
    <row r="377" spans="1:6">
      <c r="A377" s="11">
        <v>376</v>
      </c>
      <c r="B377" s="12">
        <v>44206</v>
      </c>
      <c r="C377" s="11">
        <v>70.900592259999996</v>
      </c>
      <c r="D377" s="11">
        <f t="shared" si="15"/>
        <v>72.0890117541</v>
      </c>
      <c r="E377" s="11">
        <f t="shared" si="16"/>
        <v>-1.1884194941000032</v>
      </c>
      <c r="F377" s="11">
        <f t="shared" si="17"/>
        <v>1.4123408939569078</v>
      </c>
    </row>
    <row r="378" spans="1:6">
      <c r="A378" s="11">
        <v>377</v>
      </c>
      <c r="B378" s="12">
        <v>44207</v>
      </c>
      <c r="C378" s="11">
        <v>69.288897149999997</v>
      </c>
      <c r="D378" s="11">
        <f t="shared" si="15"/>
        <v>70.191586337399997</v>
      </c>
      <c r="E378" s="11">
        <f t="shared" si="16"/>
        <v>-0.90268918740000004</v>
      </c>
      <c r="F378" s="11">
        <f t="shared" si="17"/>
        <v>0.81484776904887235</v>
      </c>
    </row>
    <row r="379" spans="1:6">
      <c r="A379" s="11">
        <v>378</v>
      </c>
      <c r="B379" s="12">
        <v>44208</v>
      </c>
      <c r="C379" s="11">
        <v>68.439115619999995</v>
      </c>
      <c r="D379" s="11">
        <f t="shared" si="15"/>
        <v>68.5960081785</v>
      </c>
      <c r="E379" s="11">
        <f t="shared" si="16"/>
        <v>-0.1568925585000045</v>
      </c>
      <c r="F379" s="11">
        <f t="shared" si="17"/>
        <v>2.4615274912677333E-2</v>
      </c>
    </row>
    <row r="380" spans="1:6">
      <c r="A380" s="11">
        <v>379</v>
      </c>
      <c r="B380" s="12">
        <v>44209</v>
      </c>
      <c r="C380" s="11">
        <v>69.133220719999997</v>
      </c>
      <c r="D380" s="11">
        <f t="shared" si="15"/>
        <v>67.754724463799988</v>
      </c>
      <c r="E380" s="11">
        <f t="shared" si="16"/>
        <v>1.3784962562000089</v>
      </c>
      <c r="F380" s="11">
        <f t="shared" si="17"/>
        <v>1.9002519283574406</v>
      </c>
    </row>
    <row r="381" spans="1:6">
      <c r="A381" s="11">
        <v>380</v>
      </c>
      <c r="B381" s="12">
        <v>44210</v>
      </c>
      <c r="C381" s="11">
        <v>69.566172289999997</v>
      </c>
      <c r="D381" s="11">
        <f t="shared" si="15"/>
        <v>68.441888512799991</v>
      </c>
      <c r="E381" s="11">
        <f t="shared" si="16"/>
        <v>1.1242837772000058</v>
      </c>
      <c r="F381" s="11">
        <f t="shared" si="17"/>
        <v>1.2640140116751124</v>
      </c>
    </row>
    <row r="382" spans="1:6">
      <c r="A382" s="11">
        <v>381</v>
      </c>
      <c r="B382" s="12">
        <v>44211</v>
      </c>
      <c r="C382" s="11">
        <v>70.359241560000001</v>
      </c>
      <c r="D382" s="11">
        <f t="shared" si="15"/>
        <v>68.870510567099998</v>
      </c>
      <c r="E382" s="11">
        <f t="shared" si="16"/>
        <v>1.4887309929000025</v>
      </c>
      <c r="F382" s="11">
        <f t="shared" si="17"/>
        <v>2.2163199692210274</v>
      </c>
    </row>
    <row r="383" spans="1:6">
      <c r="A383" s="11">
        <v>382</v>
      </c>
      <c r="B383" s="12">
        <v>44212</v>
      </c>
      <c r="C383" s="11">
        <v>70.201126430000002</v>
      </c>
      <c r="D383" s="11">
        <f t="shared" si="15"/>
        <v>69.655649144400002</v>
      </c>
      <c r="E383" s="11">
        <f t="shared" si="16"/>
        <v>0.54547728560000053</v>
      </c>
      <c r="F383" s="11">
        <f t="shared" si="17"/>
        <v>0.29754546910554452</v>
      </c>
    </row>
    <row r="384" spans="1:6">
      <c r="A384" s="11">
        <v>383</v>
      </c>
      <c r="B384" s="12">
        <v>44213</v>
      </c>
      <c r="C384" s="11">
        <v>69.651304109999998</v>
      </c>
      <c r="D384" s="11">
        <f t="shared" si="15"/>
        <v>69.499115165700005</v>
      </c>
      <c r="E384" s="11">
        <f t="shared" si="16"/>
        <v>0.15218894429999352</v>
      </c>
      <c r="F384" s="11">
        <f t="shared" si="17"/>
        <v>2.3161474767146532E-2</v>
      </c>
    </row>
    <row r="385" spans="1:6">
      <c r="A385" s="11">
        <v>384</v>
      </c>
      <c r="B385" s="12">
        <v>44214</v>
      </c>
      <c r="C385" s="11">
        <v>70.795029670000005</v>
      </c>
      <c r="D385" s="11">
        <f t="shared" si="15"/>
        <v>68.954791068899993</v>
      </c>
      <c r="E385" s="11">
        <f t="shared" si="16"/>
        <v>1.8402386011000118</v>
      </c>
      <c r="F385" s="11">
        <f t="shared" si="17"/>
        <v>3.3864781089785283</v>
      </c>
    </row>
    <row r="386" spans="1:6">
      <c r="A386" s="11">
        <v>385</v>
      </c>
      <c r="B386" s="12">
        <v>44215</v>
      </c>
      <c r="C386" s="11">
        <v>69.643746340000007</v>
      </c>
      <c r="D386" s="11">
        <f t="shared" si="15"/>
        <v>70.0870793733</v>
      </c>
      <c r="E386" s="11">
        <f t="shared" si="16"/>
        <v>-0.44333303329999296</v>
      </c>
      <c r="F386" s="11">
        <f t="shared" si="17"/>
        <v>0.19654417841497268</v>
      </c>
    </row>
    <row r="387" spans="1:6">
      <c r="A387" s="11">
        <v>386</v>
      </c>
      <c r="B387" s="12">
        <v>44216</v>
      </c>
      <c r="C387" s="11">
        <v>69.98084686</v>
      </c>
      <c r="D387" s="11">
        <f t="shared" ref="D387:D401" si="18">0.99 * C386</f>
        <v>68.947308876600005</v>
      </c>
      <c r="E387" s="11">
        <f t="shared" ref="E387:E450" si="19">C387-D387</f>
        <v>1.0335379833999951</v>
      </c>
      <c r="F387" s="11">
        <f t="shared" ref="F387:F450" si="20">E387^2</f>
        <v>1.0682007631305286</v>
      </c>
    </row>
    <row r="388" spans="1:6">
      <c r="A388" s="11">
        <v>387</v>
      </c>
      <c r="B388" s="12">
        <v>44217</v>
      </c>
      <c r="C388" s="11">
        <v>69.689442479999997</v>
      </c>
      <c r="D388" s="11">
        <f t="shared" si="18"/>
        <v>69.281038391400003</v>
      </c>
      <c r="E388" s="11">
        <f t="shared" si="19"/>
        <v>0.408404088599994</v>
      </c>
      <c r="F388" s="11">
        <f t="shared" si="20"/>
        <v>0.16679389958519175</v>
      </c>
    </row>
    <row r="389" spans="1:6">
      <c r="A389" s="11">
        <v>388</v>
      </c>
      <c r="B389" s="12">
        <v>44218</v>
      </c>
      <c r="C389" s="11">
        <v>70.543779939999993</v>
      </c>
      <c r="D389" s="11">
        <f t="shared" si="18"/>
        <v>68.99254805519999</v>
      </c>
      <c r="E389" s="11">
        <f t="shared" si="19"/>
        <v>1.5512318848000035</v>
      </c>
      <c r="F389" s="11">
        <f t="shared" si="20"/>
        <v>2.4063203604201715</v>
      </c>
    </row>
    <row r="390" spans="1:6">
      <c r="A390" s="11">
        <v>389</v>
      </c>
      <c r="B390" s="12">
        <v>44219</v>
      </c>
      <c r="C390" s="11">
        <v>71.804696759999999</v>
      </c>
      <c r="D390" s="11">
        <f t="shared" si="18"/>
        <v>69.838342140599991</v>
      </c>
      <c r="E390" s="11">
        <f t="shared" si="19"/>
        <v>1.9663546194000077</v>
      </c>
      <c r="F390" s="11">
        <f t="shared" si="20"/>
        <v>3.866550489235749</v>
      </c>
    </row>
    <row r="391" spans="1:6">
      <c r="A391" s="11">
        <v>390</v>
      </c>
      <c r="B391" s="12">
        <v>44220</v>
      </c>
      <c r="C391" s="11">
        <v>70.616585819999997</v>
      </c>
      <c r="D391" s="11">
        <f t="shared" si="18"/>
        <v>71.086649792399996</v>
      </c>
      <c r="E391" s="11">
        <f t="shared" si="19"/>
        <v>-0.47006397239999842</v>
      </c>
      <c r="F391" s="11">
        <f t="shared" si="20"/>
        <v>0.22096013814846649</v>
      </c>
    </row>
    <row r="392" spans="1:6">
      <c r="A392" s="11">
        <v>391</v>
      </c>
      <c r="B392" s="12">
        <v>44221</v>
      </c>
      <c r="C392" s="11">
        <v>70.269575369999998</v>
      </c>
      <c r="D392" s="11">
        <f t="shared" si="18"/>
        <v>69.910419961800002</v>
      </c>
      <c r="E392" s="11">
        <f t="shared" si="19"/>
        <v>0.35915540819999592</v>
      </c>
      <c r="F392" s="11">
        <f t="shared" si="20"/>
        <v>0.1289926072393057</v>
      </c>
    </row>
    <row r="393" spans="1:6">
      <c r="A393" s="11">
        <v>392</v>
      </c>
      <c r="B393" s="12">
        <v>44222</v>
      </c>
      <c r="C393" s="11">
        <v>70.155562340000003</v>
      </c>
      <c r="D393" s="11">
        <f t="shared" si="18"/>
        <v>69.5668796163</v>
      </c>
      <c r="E393" s="11">
        <f t="shared" si="19"/>
        <v>0.58868272370000341</v>
      </c>
      <c r="F393" s="11">
        <f t="shared" si="20"/>
        <v>0.34654734918285457</v>
      </c>
    </row>
    <row r="394" spans="1:6">
      <c r="A394" s="11">
        <v>393</v>
      </c>
      <c r="B394" s="12">
        <v>44223</v>
      </c>
      <c r="C394" s="11">
        <v>69.213042389999998</v>
      </c>
      <c r="D394" s="11">
        <f t="shared" si="18"/>
        <v>69.454006716600006</v>
      </c>
      <c r="E394" s="11">
        <f t="shared" si="19"/>
        <v>-0.24096432660000744</v>
      </c>
      <c r="F394" s="11">
        <f t="shared" si="20"/>
        <v>5.8063806693795052E-2</v>
      </c>
    </row>
    <row r="395" spans="1:6">
      <c r="A395" s="11">
        <v>394</v>
      </c>
      <c r="B395" s="12">
        <v>44224</v>
      </c>
      <c r="C395" s="11">
        <v>69.721944239999999</v>
      </c>
      <c r="D395" s="11">
        <f t="shared" si="18"/>
        <v>68.520911966100002</v>
      </c>
      <c r="E395" s="11">
        <f t="shared" si="19"/>
        <v>1.2010322738999974</v>
      </c>
      <c r="F395" s="11">
        <f t="shared" si="20"/>
        <v>1.4424785229493986</v>
      </c>
    </row>
    <row r="396" spans="1:6">
      <c r="A396" s="11">
        <v>395</v>
      </c>
      <c r="B396" s="12">
        <v>44225</v>
      </c>
      <c r="C396" s="11">
        <v>70.358374330000004</v>
      </c>
      <c r="D396" s="11">
        <f t="shared" si="18"/>
        <v>69.024724797600001</v>
      </c>
      <c r="E396" s="11">
        <f t="shared" si="19"/>
        <v>1.3336495324000026</v>
      </c>
      <c r="F396" s="11">
        <f t="shared" si="20"/>
        <v>1.7786210752707456</v>
      </c>
    </row>
    <row r="397" spans="1:6">
      <c r="A397" s="11">
        <v>396</v>
      </c>
      <c r="B397" s="12">
        <v>44226</v>
      </c>
      <c r="C397" s="11">
        <v>70.711312149999998</v>
      </c>
      <c r="D397" s="11">
        <f t="shared" si="18"/>
        <v>69.654790586700003</v>
      </c>
      <c r="E397" s="11">
        <f t="shared" si="19"/>
        <v>1.0565215632999951</v>
      </c>
      <c r="F397" s="11">
        <f t="shared" si="20"/>
        <v>1.1162378137178657</v>
      </c>
    </row>
    <row r="398" spans="1:6">
      <c r="A398" s="11">
        <v>397</v>
      </c>
      <c r="B398" s="12">
        <v>44227</v>
      </c>
      <c r="C398" s="11">
        <v>70.120876089999996</v>
      </c>
      <c r="D398" s="11">
        <f t="shared" si="18"/>
        <v>70.004199028499997</v>
      </c>
      <c r="E398" s="11">
        <f t="shared" si="19"/>
        <v>0.11667706149999901</v>
      </c>
      <c r="F398" s="11">
        <f t="shared" si="20"/>
        <v>1.3613536680274553E-2</v>
      </c>
    </row>
    <row r="399" spans="1:6">
      <c r="A399" s="11">
        <v>398</v>
      </c>
      <c r="B399" s="12">
        <v>44228</v>
      </c>
      <c r="C399" s="11">
        <v>69.953324309999999</v>
      </c>
      <c r="D399" s="11">
        <f t="shared" si="18"/>
        <v>69.419667329099994</v>
      </c>
      <c r="E399" s="11">
        <f t="shared" si="19"/>
        <v>0.53365698090000535</v>
      </c>
      <c r="F399" s="11">
        <f t="shared" si="20"/>
        <v>0.28478977326330868</v>
      </c>
    </row>
    <row r="400" spans="1:6">
      <c r="A400" s="11">
        <v>399</v>
      </c>
      <c r="B400" s="12">
        <v>44229</v>
      </c>
      <c r="C400" s="11">
        <v>68.788120809999995</v>
      </c>
      <c r="D400" s="11">
        <f t="shared" si="18"/>
        <v>69.253791066899993</v>
      </c>
      <c r="E400" s="11">
        <f t="shared" si="19"/>
        <v>-0.46567025689999753</v>
      </c>
      <c r="F400" s="11">
        <f t="shared" si="20"/>
        <v>0.2168487881613097</v>
      </c>
    </row>
    <row r="401" spans="1:6">
      <c r="A401" s="11">
        <v>400</v>
      </c>
      <c r="B401" s="12">
        <v>44230</v>
      </c>
      <c r="C401" s="11">
        <v>68.928761120000004</v>
      </c>
      <c r="D401" s="11">
        <f t="shared" si="18"/>
        <v>68.1002396019</v>
      </c>
      <c r="E401" s="11">
        <f t="shared" si="19"/>
        <v>0.82852151810000407</v>
      </c>
      <c r="F401" s="11">
        <f t="shared" si="20"/>
        <v>0.68644790595473537</v>
      </c>
    </row>
  </sheetData>
  <mergeCells count="1">
    <mergeCell ref="G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0EE9-1EC4-4DE0-84DB-F79C12BB44CF}">
  <dimension ref="A1:O402"/>
  <sheetViews>
    <sheetView workbookViewId="0">
      <selection activeCell="O3" sqref="O3"/>
    </sheetView>
  </sheetViews>
  <sheetFormatPr defaultRowHeight="14.45"/>
  <cols>
    <col min="2" max="2" width="18.140625" customWidth="1"/>
    <col min="3" max="4" width="10.85546875" customWidth="1"/>
    <col min="5" max="5" width="14.85546875" style="11" customWidth="1"/>
    <col min="6" max="6" width="13.85546875" style="28" customWidth="1"/>
    <col min="7" max="7" width="15.5703125" style="22" customWidth="1"/>
    <col min="8" max="8" width="19.42578125" style="11" bestFit="1" customWidth="1"/>
    <col min="9" max="11" width="19.42578125" style="24" customWidth="1"/>
    <col min="12" max="12" width="9.140625" style="24"/>
    <col min="13" max="13" width="9.140625" style="22"/>
    <col min="14" max="14" width="9.140625" style="11"/>
    <col min="15" max="15" width="10" customWidth="1"/>
  </cols>
  <sheetData>
    <row r="1" spans="1:15" ht="29.1">
      <c r="A1" s="4" t="s">
        <v>0</v>
      </c>
      <c r="B1" s="16" t="s">
        <v>2</v>
      </c>
      <c r="C1" s="21" t="s">
        <v>13</v>
      </c>
      <c r="D1" s="21" t="s">
        <v>14</v>
      </c>
      <c r="E1" s="18" t="s">
        <v>15</v>
      </c>
      <c r="F1" s="27" t="s">
        <v>16</v>
      </c>
      <c r="G1" s="29" t="s">
        <v>17</v>
      </c>
      <c r="H1" s="18" t="s">
        <v>18</v>
      </c>
      <c r="I1" s="31" t="s">
        <v>19</v>
      </c>
      <c r="J1" s="23" t="s">
        <v>20</v>
      </c>
      <c r="K1" s="23" t="s">
        <v>21</v>
      </c>
      <c r="L1" s="30" t="s">
        <v>22</v>
      </c>
      <c r="M1" s="29" t="s">
        <v>23</v>
      </c>
      <c r="N1" s="26" t="s">
        <v>24</v>
      </c>
      <c r="O1" s="25" t="s">
        <v>25</v>
      </c>
    </row>
    <row r="2" spans="1:15">
      <c r="A2" s="7">
        <v>1</v>
      </c>
      <c r="B2" s="17">
        <v>68.346715680000003</v>
      </c>
      <c r="C2" s="22">
        <f>AVERAGE(B2:B401)</f>
        <v>69.956398927700079</v>
      </c>
      <c r="D2" s="22">
        <f t="shared" ref="D2:D65" si="0">B2-$C$2</f>
        <v>-1.609683247700076</v>
      </c>
      <c r="E2" s="11">
        <v>0</v>
      </c>
      <c r="F2" s="28">
        <v>0</v>
      </c>
      <c r="G2" s="22">
        <f t="shared" ref="G2:G65" si="1">(B2-$C$2)^2</f>
        <v>2.5910801579262643</v>
      </c>
      <c r="H2" s="11">
        <f t="shared" ref="H2:H65" si="2">D2*F2</f>
        <v>0</v>
      </c>
      <c r="I2" s="24">
        <f>SUM(H2:H401)</f>
        <v>211.36426927842774</v>
      </c>
      <c r="J2" s="24">
        <f>SUM(G2:G401)</f>
        <v>484.42244817276332</v>
      </c>
      <c r="K2" s="24" cm="1">
        <f t="array" ref="K2:L2">I2:J2</f>
        <v>211.36426927842774</v>
      </c>
      <c r="L2" s="24">
        <v>484.42244817276332</v>
      </c>
    </row>
    <row r="3" spans="1:15">
      <c r="A3" s="7">
        <v>2</v>
      </c>
      <c r="B3" s="7">
        <v>69.648484909999993</v>
      </c>
      <c r="D3" s="22">
        <f t="shared" si="0"/>
        <v>-0.3079140177000852</v>
      </c>
      <c r="E3" s="11">
        <v>68.346715680000003</v>
      </c>
      <c r="F3" s="28">
        <f t="shared" ref="F3:F66" si="3">E3-$C$2</f>
        <v>-1.609683247700076</v>
      </c>
      <c r="G3" s="22">
        <f t="shared" si="1"/>
        <v>9.4811042296208375E-2</v>
      </c>
      <c r="H3" s="11">
        <f t="shared" si="2"/>
        <v>0.49564403602385182</v>
      </c>
      <c r="L3" s="24">
        <f t="shared" ref="L3:L66" si="4">B3*E3</f>
        <v>4760.2451956865398</v>
      </c>
      <c r="M3" s="22">
        <f t="shared" ref="M3:M66" si="5">E3^2</f>
        <v>4671.2735442427584</v>
      </c>
      <c r="N3" s="11">
        <f t="shared" ref="N3:N66" si="6">L3/M3</f>
        <v>1.0190465513528826</v>
      </c>
      <c r="O3">
        <f>AVERAGE(N3:N401)</f>
        <v>1.0001602075296936</v>
      </c>
    </row>
    <row r="4" spans="1:15">
      <c r="A4" s="7">
        <v>3</v>
      </c>
      <c r="B4" s="7">
        <v>69.340707750000007</v>
      </c>
      <c r="C4" s="20"/>
      <c r="D4" s="22">
        <f t="shared" si="0"/>
        <v>-0.61569117770007153</v>
      </c>
      <c r="E4" s="11">
        <v>69.648484909999993</v>
      </c>
      <c r="F4" s="28">
        <f t="shared" si="3"/>
        <v>-0.3079140177000852</v>
      </c>
      <c r="G4" s="22">
        <f t="shared" si="1"/>
        <v>0.37907562629770108</v>
      </c>
      <c r="H4" s="11">
        <f t="shared" si="2"/>
        <v>0.18957994418812613</v>
      </c>
      <c r="L4" s="24">
        <f t="shared" si="4"/>
        <v>4829.4752373745951</v>
      </c>
      <c r="M4" s="22">
        <f t="shared" si="5"/>
        <v>4850.9114502584971</v>
      </c>
      <c r="N4" s="11">
        <f t="shared" si="6"/>
        <v>0.99558099274668066</v>
      </c>
    </row>
    <row r="5" spans="1:15">
      <c r="A5" s="7">
        <v>4</v>
      </c>
      <c r="B5" s="7">
        <v>69.947982330000002</v>
      </c>
      <c r="D5" s="22">
        <f t="shared" si="0"/>
        <v>-8.4165977000765224E-3</v>
      </c>
      <c r="E5" s="11">
        <v>69.340707750000007</v>
      </c>
      <c r="F5" s="28">
        <f t="shared" si="3"/>
        <v>-0.61569117770007153</v>
      </c>
      <c r="G5" s="22">
        <f t="shared" si="1"/>
        <v>7.0839116844933405E-5</v>
      </c>
      <c r="H5" s="11">
        <f t="shared" si="2"/>
        <v>5.1820249501878272E-3</v>
      </c>
      <c r="L5" s="24">
        <f t="shared" si="4"/>
        <v>4850.2426004466943</v>
      </c>
      <c r="M5" s="22">
        <f t="shared" si="5"/>
        <v>4808.1337512709115</v>
      </c>
      <c r="N5" s="11">
        <f t="shared" si="6"/>
        <v>1.008757836481702</v>
      </c>
    </row>
    <row r="6" spans="1:15">
      <c r="A6" s="7">
        <v>5</v>
      </c>
      <c r="B6" s="7">
        <v>68.760614149999995</v>
      </c>
      <c r="D6" s="22">
        <f t="shared" si="0"/>
        <v>-1.1957847777000836</v>
      </c>
      <c r="E6" s="11">
        <v>69.947982330000002</v>
      </c>
      <c r="F6" s="28">
        <f t="shared" si="3"/>
        <v>-8.4165977000765224E-3</v>
      </c>
      <c r="G6" s="22">
        <f t="shared" si="1"/>
        <v>1.4299012345792383</v>
      </c>
      <c r="H6" s="11">
        <f t="shared" si="2"/>
        <v>1.006443940977704E-2</v>
      </c>
      <c r="L6" s="24">
        <f t="shared" si="4"/>
        <v>4809.6662235641479</v>
      </c>
      <c r="M6" s="22">
        <f t="shared" si="5"/>
        <v>4892.7202320379929</v>
      </c>
      <c r="N6" s="11">
        <f t="shared" si="6"/>
        <v>0.98302498313106079</v>
      </c>
    </row>
    <row r="7" spans="1:15">
      <c r="A7" s="7">
        <v>6</v>
      </c>
      <c r="B7" s="7">
        <v>68.681916150000006</v>
      </c>
      <c r="D7" s="22">
        <f t="shared" si="0"/>
        <v>-1.2744827777000722</v>
      </c>
      <c r="E7" s="11">
        <v>68.760614149999995</v>
      </c>
      <c r="F7" s="28">
        <f t="shared" si="3"/>
        <v>-1.1957847777000836</v>
      </c>
      <c r="G7" s="22">
        <f t="shared" si="1"/>
        <v>1.6243063506540918</v>
      </c>
      <c r="H7" s="11">
        <f t="shared" si="2"/>
        <v>1.524007105014666</v>
      </c>
      <c r="L7" s="24">
        <f t="shared" si="4"/>
        <v>4722.6107354728038</v>
      </c>
      <c r="M7" s="22">
        <f t="shared" si="5"/>
        <v>4728.0220582851798</v>
      </c>
      <c r="N7" s="11">
        <f t="shared" si="6"/>
        <v>0.99885547851814827</v>
      </c>
    </row>
    <row r="8" spans="1:15">
      <c r="A8" s="7">
        <v>7</v>
      </c>
      <c r="B8" s="7">
        <v>69.470476039999994</v>
      </c>
      <c r="D8" s="22">
        <f t="shared" si="0"/>
        <v>-0.48592288770008452</v>
      </c>
      <c r="E8" s="11">
        <v>68.681916150000006</v>
      </c>
      <c r="F8" s="28">
        <f t="shared" si="3"/>
        <v>-1.2744827777000722</v>
      </c>
      <c r="G8" s="22">
        <f t="shared" si="1"/>
        <v>0.23612105279078896</v>
      </c>
      <c r="H8" s="11">
        <f t="shared" si="2"/>
        <v>0.61930035166404396</v>
      </c>
      <c r="L8" s="24">
        <f t="shared" si="4"/>
        <v>4771.3654102798637</v>
      </c>
      <c r="M8" s="22">
        <f t="shared" si="5"/>
        <v>4717.2056060356317</v>
      </c>
      <c r="N8" s="11">
        <f t="shared" si="6"/>
        <v>1.0114813321206384</v>
      </c>
    </row>
    <row r="9" spans="1:15">
      <c r="A9" s="7">
        <v>8</v>
      </c>
      <c r="B9" s="7">
        <v>68.417010970000007</v>
      </c>
      <c r="D9" s="22">
        <f t="shared" si="0"/>
        <v>-1.5393879577000718</v>
      </c>
      <c r="E9" s="11">
        <v>69.470476039999994</v>
      </c>
      <c r="F9" s="28">
        <f t="shared" si="3"/>
        <v>-0.48592288770008452</v>
      </c>
      <c r="G9" s="22">
        <f t="shared" si="1"/>
        <v>2.3697152843119977</v>
      </c>
      <c r="H9" s="11">
        <f t="shared" si="2"/>
        <v>0.74802384169635439</v>
      </c>
      <c r="L9" s="24">
        <f t="shared" si="4"/>
        <v>4752.962321319802</v>
      </c>
      <c r="M9" s="22">
        <f t="shared" si="5"/>
        <v>4826.1470412242134</v>
      </c>
      <c r="N9" s="11">
        <f t="shared" si="6"/>
        <v>0.98483578737256061</v>
      </c>
    </row>
    <row r="10" spans="1:15">
      <c r="A10" s="7">
        <v>9</v>
      </c>
      <c r="B10" s="7">
        <v>69.324211640000001</v>
      </c>
      <c r="D10" s="22">
        <f t="shared" si="0"/>
        <v>-0.63218728770007715</v>
      </c>
      <c r="E10" s="11">
        <v>68.417010970000007</v>
      </c>
      <c r="F10" s="28">
        <f t="shared" si="3"/>
        <v>-1.5393879577000718</v>
      </c>
      <c r="G10" s="22">
        <f t="shared" si="1"/>
        <v>0.39966076672958012</v>
      </c>
      <c r="H10" s="11">
        <f t="shared" si="2"/>
        <v>0.97318149769656948</v>
      </c>
      <c r="L10" s="24">
        <f t="shared" si="4"/>
        <v>4742.9553482604824</v>
      </c>
      <c r="M10" s="22">
        <f t="shared" si="5"/>
        <v>4680.8873900691015</v>
      </c>
      <c r="N10" s="11">
        <f t="shared" si="6"/>
        <v>1.0132598699817184</v>
      </c>
    </row>
    <row r="11" spans="1:15">
      <c r="A11" s="7">
        <v>10</v>
      </c>
      <c r="B11" s="7">
        <v>69.690276130000001</v>
      </c>
      <c r="D11" s="22">
        <f t="shared" si="0"/>
        <v>-0.26612279770007774</v>
      </c>
      <c r="E11" s="11">
        <v>69.324211640000001</v>
      </c>
      <c r="F11" s="28">
        <f t="shared" si="3"/>
        <v>-0.63218728770007715</v>
      </c>
      <c r="G11" s="22">
        <f t="shared" si="1"/>
        <v>7.0821343455716501E-2</v>
      </c>
      <c r="H11" s="11">
        <f t="shared" si="2"/>
        <v>0.16823944967316848</v>
      </c>
      <c r="L11" s="24">
        <f t="shared" si="4"/>
        <v>4831.2234516861599</v>
      </c>
      <c r="M11" s="22">
        <f t="shared" si="5"/>
        <v>4805.8463195075119</v>
      </c>
      <c r="N11" s="11">
        <f t="shared" si="6"/>
        <v>1.0052804710120753</v>
      </c>
    </row>
    <row r="12" spans="1:15">
      <c r="A12" s="7">
        <v>11</v>
      </c>
      <c r="B12" s="7">
        <v>68.274545989999993</v>
      </c>
      <c r="D12" s="22">
        <f t="shared" si="0"/>
        <v>-1.6818529377000857</v>
      </c>
      <c r="E12" s="11">
        <v>69.690276130000001</v>
      </c>
      <c r="F12" s="28">
        <f t="shared" si="3"/>
        <v>-0.26612279770007774</v>
      </c>
      <c r="G12" s="22">
        <f t="shared" si="1"/>
        <v>2.8286293040504082</v>
      </c>
      <c r="H12" s="11">
        <f t="shared" si="2"/>
        <v>0.44757940910084137</v>
      </c>
      <c r="L12" s="24">
        <f t="shared" si="4"/>
        <v>4758.0719626934842</v>
      </c>
      <c r="M12" s="22">
        <f t="shared" si="5"/>
        <v>4856.7345870756481</v>
      </c>
      <c r="N12" s="11">
        <f t="shared" si="6"/>
        <v>0.97968539918884656</v>
      </c>
    </row>
    <row r="13" spans="1:15">
      <c r="A13" s="7">
        <v>12</v>
      </c>
      <c r="B13" s="7">
        <v>67.754401999999999</v>
      </c>
      <c r="D13" s="22">
        <f t="shared" si="0"/>
        <v>-2.2019969277000797</v>
      </c>
      <c r="E13" s="11">
        <v>68.274545989999993</v>
      </c>
      <c r="F13" s="28">
        <f t="shared" si="3"/>
        <v>-1.6818529377000857</v>
      </c>
      <c r="G13" s="22">
        <f t="shared" si="1"/>
        <v>4.8487904696005897</v>
      </c>
      <c r="H13" s="11">
        <f t="shared" si="2"/>
        <v>3.7034350016589421</v>
      </c>
      <c r="L13" s="24">
        <f t="shared" si="4"/>
        <v>4625.9010353739477</v>
      </c>
      <c r="M13" s="22">
        <f t="shared" si="5"/>
        <v>4661.4136301406243</v>
      </c>
      <c r="N13" s="11">
        <f t="shared" si="6"/>
        <v>0.99238158258751108</v>
      </c>
    </row>
    <row r="14" spans="1:15">
      <c r="A14" s="7">
        <v>13</v>
      </c>
      <c r="B14" s="7">
        <v>69.775397490000003</v>
      </c>
      <c r="D14" s="22">
        <f t="shared" si="0"/>
        <v>-0.18100143770007548</v>
      </c>
      <c r="E14" s="11">
        <v>67.754401999999999</v>
      </c>
      <c r="F14" s="28">
        <f t="shared" si="3"/>
        <v>-2.2019969277000797</v>
      </c>
      <c r="G14" s="22">
        <f t="shared" si="1"/>
        <v>3.2761520449494305E-2</v>
      </c>
      <c r="H14" s="11">
        <f t="shared" si="2"/>
        <v>0.39856460972486357</v>
      </c>
      <c r="L14" s="24">
        <f t="shared" si="4"/>
        <v>4727.590331247251</v>
      </c>
      <c r="M14" s="22">
        <f t="shared" si="5"/>
        <v>4590.6589903776039</v>
      </c>
      <c r="N14" s="11">
        <f t="shared" si="6"/>
        <v>1.0298282536683003</v>
      </c>
    </row>
    <row r="15" spans="1:15">
      <c r="A15" s="7">
        <v>14</v>
      </c>
      <c r="B15" s="7">
        <v>71.434473879999999</v>
      </c>
      <c r="D15" s="22">
        <f t="shared" si="0"/>
        <v>1.4780749522999201</v>
      </c>
      <c r="E15" s="11">
        <v>69.775397490000003</v>
      </c>
      <c r="F15" s="28">
        <f t="shared" si="3"/>
        <v>-0.18100143770007548</v>
      </c>
      <c r="G15" s="22">
        <f t="shared" si="1"/>
        <v>2.1847055646164111</v>
      </c>
      <c r="H15" s="11">
        <f t="shared" si="2"/>
        <v>-0.26753369139475602</v>
      </c>
      <c r="L15" s="24">
        <f t="shared" si="4"/>
        <v>4984.3688094660229</v>
      </c>
      <c r="M15" s="22">
        <f t="shared" si="5"/>
        <v>4868.6060948874983</v>
      </c>
      <c r="N15" s="11">
        <f t="shared" si="6"/>
        <v>1.0237773835718782</v>
      </c>
    </row>
    <row r="16" spans="1:15">
      <c r="A16" s="7">
        <v>15</v>
      </c>
      <c r="B16" s="7">
        <v>70.796156440000004</v>
      </c>
      <c r="D16" s="22">
        <f t="shared" si="0"/>
        <v>0.83975751229992568</v>
      </c>
      <c r="E16" s="11">
        <v>71.434473879999999</v>
      </c>
      <c r="F16" s="28">
        <f t="shared" si="3"/>
        <v>1.4780749522999201</v>
      </c>
      <c r="G16" s="22">
        <f t="shared" si="1"/>
        <v>0.70519267946415987</v>
      </c>
      <c r="H16" s="11">
        <f t="shared" si="2"/>
        <v>1.2412245449362123</v>
      </c>
      <c r="L16" s="24">
        <f t="shared" si="4"/>
        <v>5057.2861880175742</v>
      </c>
      <c r="M16" s="22">
        <f t="shared" si="5"/>
        <v>5102.8840585124017</v>
      </c>
      <c r="N16" s="11">
        <f t="shared" si="6"/>
        <v>0.99106429423596976</v>
      </c>
    </row>
    <row r="17" spans="1:14">
      <c r="A17" s="7">
        <v>16</v>
      </c>
      <c r="B17" s="7">
        <v>70.452113510000004</v>
      </c>
      <c r="D17" s="22">
        <f t="shared" si="0"/>
        <v>0.49571458229992515</v>
      </c>
      <c r="E17" s="11">
        <v>70.796156440000004</v>
      </c>
      <c r="F17" s="28">
        <f t="shared" si="3"/>
        <v>0.83975751229992568</v>
      </c>
      <c r="G17" s="22">
        <f t="shared" si="1"/>
        <v>0.24573294710478927</v>
      </c>
      <c r="H17" s="11">
        <f t="shared" si="2"/>
        <v>0.41628004444298194</v>
      </c>
      <c r="L17" s="24">
        <f t="shared" si="4"/>
        <v>4987.738849582598</v>
      </c>
      <c r="M17" s="22">
        <f t="shared" si="5"/>
        <v>5012.0957666769536</v>
      </c>
      <c r="N17" s="11">
        <f t="shared" si="6"/>
        <v>0.99514037276456424</v>
      </c>
    </row>
    <row r="18" spans="1:14">
      <c r="A18" s="7">
        <v>17</v>
      </c>
      <c r="B18" s="7">
        <v>70.256264740000006</v>
      </c>
      <c r="D18" s="22">
        <f t="shared" si="0"/>
        <v>0.29986581229992737</v>
      </c>
      <c r="E18" s="11">
        <v>70.452113510000004</v>
      </c>
      <c r="F18" s="28">
        <f t="shared" si="3"/>
        <v>0.49571458229992515</v>
      </c>
      <c r="G18" s="22">
        <f t="shared" si="1"/>
        <v>8.991950538629527E-2</v>
      </c>
      <c r="H18" s="11">
        <f t="shared" si="2"/>
        <v>0.14864785589028626</v>
      </c>
      <c r="L18" s="24">
        <f t="shared" si="4"/>
        <v>4949.7023382510915</v>
      </c>
      <c r="M18" s="22">
        <f t="shared" si="5"/>
        <v>4963.5002980259251</v>
      </c>
      <c r="N18" s="11">
        <f t="shared" si="6"/>
        <v>0.99722011505059827</v>
      </c>
    </row>
    <row r="19" spans="1:14">
      <c r="A19" s="7">
        <v>18</v>
      </c>
      <c r="B19" s="7">
        <v>70.347747769999998</v>
      </c>
      <c r="D19" s="22">
        <f t="shared" si="0"/>
        <v>0.3913488422999194</v>
      </c>
      <c r="E19" s="11">
        <v>70.256264740000006</v>
      </c>
      <c r="F19" s="28">
        <f t="shared" si="3"/>
        <v>0.29986581229992737</v>
      </c>
      <c r="G19" s="22">
        <f t="shared" si="1"/>
        <v>0.15315391636948719</v>
      </c>
      <c r="H19" s="11">
        <f t="shared" si="2"/>
        <v>0.11735213848890151</v>
      </c>
      <c r="L19" s="24">
        <f t="shared" si="4"/>
        <v>4942.3699911918648</v>
      </c>
      <c r="M19" s="22">
        <f t="shared" si="5"/>
        <v>4935.9427352169678</v>
      </c>
      <c r="N19" s="11">
        <f t="shared" si="6"/>
        <v>1.0013021334159815</v>
      </c>
    </row>
    <row r="20" spans="1:14">
      <c r="A20" s="7">
        <v>19</v>
      </c>
      <c r="B20" s="7">
        <v>71.417753250000004</v>
      </c>
      <c r="D20" s="22">
        <f t="shared" si="0"/>
        <v>1.4613543222999255</v>
      </c>
      <c r="E20" s="11">
        <v>70.347747769999998</v>
      </c>
      <c r="F20" s="28">
        <f t="shared" si="3"/>
        <v>0.3913488422999194</v>
      </c>
      <c r="G20" s="22">
        <f t="shared" si="1"/>
        <v>2.1355564553046742</v>
      </c>
      <c r="H20" s="11">
        <f t="shared" si="2"/>
        <v>0.57189932222205908</v>
      </c>
      <c r="L20" s="24">
        <f t="shared" si="4"/>
        <v>5024.0780919310982</v>
      </c>
      <c r="M20" s="22">
        <f t="shared" si="5"/>
        <v>4948.8056163115398</v>
      </c>
      <c r="N20" s="11">
        <f t="shared" si="6"/>
        <v>1.0152102308022477</v>
      </c>
    </row>
    <row r="21" spans="1:14">
      <c r="A21" s="7">
        <v>20</v>
      </c>
      <c r="B21" s="7">
        <v>69.239329220000002</v>
      </c>
      <c r="D21" s="22">
        <f t="shared" si="0"/>
        <v>-0.71706970770007672</v>
      </c>
      <c r="E21" s="11">
        <v>71.417753250000004</v>
      </c>
      <c r="F21" s="28">
        <f t="shared" si="3"/>
        <v>1.4613543222999255</v>
      </c>
      <c r="G21" s="22">
        <f t="shared" si="1"/>
        <v>0.51418896570107342</v>
      </c>
      <c r="H21" s="11">
        <f t="shared" si="2"/>
        <v>-1.0478929167378512</v>
      </c>
      <c r="L21" s="24">
        <f t="shared" si="4"/>
        <v>4944.9173294294751</v>
      </c>
      <c r="M21" s="22">
        <f t="shared" si="5"/>
        <v>5100.4954792778863</v>
      </c>
      <c r="N21" s="11">
        <f t="shared" si="6"/>
        <v>0.96949744383060654</v>
      </c>
    </row>
    <row r="22" spans="1:14">
      <c r="A22" s="7">
        <v>21</v>
      </c>
      <c r="B22" s="7">
        <v>69.794732289999999</v>
      </c>
      <c r="D22" s="22">
        <f t="shared" si="0"/>
        <v>-0.16166663770007972</v>
      </c>
      <c r="E22" s="11">
        <v>69.239329220000002</v>
      </c>
      <c r="F22" s="28">
        <f t="shared" si="3"/>
        <v>-0.71706970770007672</v>
      </c>
      <c r="G22" s="22">
        <f t="shared" si="1"/>
        <v>2.6136101745248837E-2</v>
      </c>
      <c r="H22" s="11">
        <f t="shared" si="2"/>
        <v>0.11592624864045037</v>
      </c>
      <c r="L22" s="24">
        <f t="shared" si="4"/>
        <v>4832.5404468490742</v>
      </c>
      <c r="M22" s="22">
        <f t="shared" si="5"/>
        <v>4794.0847108355465</v>
      </c>
      <c r="N22" s="11">
        <f t="shared" si="6"/>
        <v>1.0080214969765993</v>
      </c>
    </row>
    <row r="23" spans="1:14">
      <c r="A23" s="7">
        <v>22</v>
      </c>
      <c r="B23" s="7">
        <v>69.723031649999996</v>
      </c>
      <c r="D23" s="22">
        <f t="shared" si="0"/>
        <v>-0.23336727770008281</v>
      </c>
      <c r="E23" s="11">
        <v>69.794732289999999</v>
      </c>
      <c r="F23" s="28">
        <f t="shared" si="3"/>
        <v>-0.16166663770007972</v>
      </c>
      <c r="G23" s="22">
        <f t="shared" si="1"/>
        <v>5.4460286301147569E-2</v>
      </c>
      <c r="H23" s="11">
        <f t="shared" si="2"/>
        <v>3.7727703134993178E-2</v>
      </c>
      <c r="L23" s="24">
        <f t="shared" si="4"/>
        <v>4866.3003284589468</v>
      </c>
      <c r="M23" s="22">
        <f t="shared" si="5"/>
        <v>4871.3046554327684</v>
      </c>
      <c r="N23" s="11">
        <f t="shared" si="6"/>
        <v>0.99897269267110189</v>
      </c>
    </row>
    <row r="24" spans="1:14">
      <c r="A24" s="7">
        <v>23</v>
      </c>
      <c r="B24" s="7">
        <v>69.671140370000003</v>
      </c>
      <c r="D24" s="22">
        <f t="shared" si="0"/>
        <v>-0.28525855770007524</v>
      </c>
      <c r="E24" s="11">
        <v>69.723031649999996</v>
      </c>
      <c r="F24" s="28">
        <f t="shared" si="3"/>
        <v>-0.23336727770008281</v>
      </c>
      <c r="G24" s="22">
        <f t="shared" si="1"/>
        <v>8.1372444741127162E-2</v>
      </c>
      <c r="H24" s="11">
        <f t="shared" si="2"/>
        <v>6.6570013051118551E-2</v>
      </c>
      <c r="L24" s="24">
        <f t="shared" si="4"/>
        <v>4857.6831251091025</v>
      </c>
      <c r="M24" s="22">
        <f t="shared" si="5"/>
        <v>4861.3011424669012</v>
      </c>
      <c r="N24" s="11">
        <f t="shared" si="6"/>
        <v>0.99925575123783372</v>
      </c>
    </row>
    <row r="25" spans="1:14">
      <c r="A25" s="7">
        <v>24</v>
      </c>
      <c r="B25" s="7">
        <v>69.583524999999995</v>
      </c>
      <c r="D25" s="22">
        <f t="shared" si="0"/>
        <v>-0.3728739277000841</v>
      </c>
      <c r="E25" s="11">
        <v>69.671140370000003</v>
      </c>
      <c r="F25" s="28">
        <f t="shared" si="3"/>
        <v>-0.28525855770007524</v>
      </c>
      <c r="G25" s="22">
        <f t="shared" si="1"/>
        <v>0.13903496595848755</v>
      </c>
      <c r="H25" s="11">
        <f t="shared" si="2"/>
        <v>0.10636547881968812</v>
      </c>
      <c r="L25" s="24">
        <f t="shared" si="4"/>
        <v>4847.9635377144041</v>
      </c>
      <c r="M25" s="22">
        <f t="shared" si="5"/>
        <v>4854.0678004562442</v>
      </c>
      <c r="N25" s="11">
        <f t="shared" si="6"/>
        <v>0.99874244386506794</v>
      </c>
    </row>
    <row r="26" spans="1:14">
      <c r="A26" s="7">
        <v>25</v>
      </c>
      <c r="B26" s="7">
        <v>69.473625769999998</v>
      </c>
      <c r="D26" s="22">
        <f t="shared" si="0"/>
        <v>-0.48277315770008045</v>
      </c>
      <c r="E26" s="11">
        <v>69.583524999999995</v>
      </c>
      <c r="F26" s="28">
        <f t="shared" si="3"/>
        <v>-0.3728739277000841</v>
      </c>
      <c r="G26" s="22">
        <f t="shared" si="1"/>
        <v>0.23306992179570674</v>
      </c>
      <c r="H26" s="11">
        <f t="shared" si="2"/>
        <v>0.1800135234998011</v>
      </c>
      <c r="L26" s="24">
        <f t="shared" si="4"/>
        <v>4834.2197756074384</v>
      </c>
      <c r="M26" s="22">
        <f t="shared" si="5"/>
        <v>4841.8669514256244</v>
      </c>
      <c r="N26" s="11">
        <f t="shared" si="6"/>
        <v>0.99842061421866735</v>
      </c>
    </row>
    <row r="27" spans="1:14">
      <c r="A27" s="7">
        <v>26</v>
      </c>
      <c r="B27" s="7">
        <v>68.582921769999999</v>
      </c>
      <c r="D27" s="22">
        <f t="shared" si="0"/>
        <v>-1.3734771577000799</v>
      </c>
      <c r="E27" s="11">
        <v>69.473625769999998</v>
      </c>
      <c r="F27" s="28">
        <f t="shared" si="3"/>
        <v>-0.48277315770008045</v>
      </c>
      <c r="G27" s="22">
        <f t="shared" si="1"/>
        <v>1.8864395027238903</v>
      </c>
      <c r="H27" s="11">
        <f t="shared" si="2"/>
        <v>0.66307790445179893</v>
      </c>
      <c r="L27" s="24">
        <f t="shared" si="4"/>
        <v>4764.7042412621659</v>
      </c>
      <c r="M27" s="22">
        <f t="shared" si="5"/>
        <v>4826.5846776300077</v>
      </c>
      <c r="N27" s="11">
        <f t="shared" si="6"/>
        <v>0.98717924982138161</v>
      </c>
    </row>
    <row r="28" spans="1:14">
      <c r="A28" s="7">
        <v>27</v>
      </c>
      <c r="B28" s="7">
        <v>69.491004529999998</v>
      </c>
      <c r="D28" s="22">
        <f t="shared" si="0"/>
        <v>-0.46539439770008073</v>
      </c>
      <c r="E28" s="11">
        <v>68.582921769999999</v>
      </c>
      <c r="F28" s="28">
        <f t="shared" si="3"/>
        <v>-1.3734771577000799</v>
      </c>
      <c r="G28" s="22">
        <f t="shared" si="1"/>
        <v>0.21659194541062091</v>
      </c>
      <c r="H28" s="11">
        <f t="shared" si="2"/>
        <v>0.63920857456264746</v>
      </c>
      <c r="L28" s="24">
        <f t="shared" si="4"/>
        <v>4765.8961273997056</v>
      </c>
      <c r="M28" s="22">
        <f t="shared" si="5"/>
        <v>4703.6171585099401</v>
      </c>
      <c r="N28" s="11">
        <f t="shared" si="6"/>
        <v>1.013240654328571</v>
      </c>
    </row>
    <row r="29" spans="1:14">
      <c r="A29" s="7">
        <v>28</v>
      </c>
      <c r="B29" s="7">
        <v>71.790669219999998</v>
      </c>
      <c r="D29" s="22">
        <f t="shared" si="0"/>
        <v>1.8342702922999194</v>
      </c>
      <c r="E29" s="11">
        <v>69.491004529999998</v>
      </c>
      <c r="F29" s="28">
        <f t="shared" si="3"/>
        <v>-0.46539439770008073</v>
      </c>
      <c r="G29" s="22">
        <f t="shared" si="1"/>
        <v>3.3645475052140319</v>
      </c>
      <c r="H29" s="11">
        <f t="shared" si="2"/>
        <v>-0.85365911790407201</v>
      </c>
      <c r="L29" s="24">
        <f t="shared" si="4"/>
        <v>4988.8057199787509</v>
      </c>
      <c r="M29" s="22">
        <f t="shared" si="5"/>
        <v>4828.9997105884804</v>
      </c>
      <c r="N29" s="11">
        <f t="shared" si="6"/>
        <v>1.0330929838409113</v>
      </c>
    </row>
    <row r="30" spans="1:14">
      <c r="A30" s="7">
        <v>29</v>
      </c>
      <c r="B30" s="7">
        <v>71.170967149999996</v>
      </c>
      <c r="D30" s="22">
        <f t="shared" si="0"/>
        <v>1.214568222299917</v>
      </c>
      <c r="E30" s="11">
        <v>71.790669219999998</v>
      </c>
      <c r="F30" s="28">
        <f t="shared" si="3"/>
        <v>1.8342702922999194</v>
      </c>
      <c r="G30" s="22">
        <f t="shared" si="1"/>
        <v>1.4751759666207807</v>
      </c>
      <c r="H30" s="11">
        <f t="shared" si="2"/>
        <v>2.2278464081362621</v>
      </c>
      <c r="L30" s="24">
        <f t="shared" si="4"/>
        <v>5109.4113607331356</v>
      </c>
      <c r="M30" s="22">
        <f t="shared" si="5"/>
        <v>5153.9001870554548</v>
      </c>
      <c r="N30" s="11">
        <f t="shared" si="6"/>
        <v>0.99136793016790326</v>
      </c>
    </row>
    <row r="31" spans="1:14">
      <c r="A31" s="7">
        <v>30</v>
      </c>
      <c r="B31" s="7">
        <v>70.163994479999999</v>
      </c>
      <c r="D31" s="22">
        <f t="shared" si="0"/>
        <v>0.20759555229992088</v>
      </c>
      <c r="E31" s="11">
        <v>71.170967149999996</v>
      </c>
      <c r="F31" s="28">
        <f t="shared" si="3"/>
        <v>1.214568222299917</v>
      </c>
      <c r="G31" s="22">
        <f t="shared" si="1"/>
        <v>4.3095913334709184E-2</v>
      </c>
      <c r="H31" s="11">
        <f t="shared" si="2"/>
        <v>0.25213896091428434</v>
      </c>
      <c r="L31" s="24">
        <f t="shared" si="4"/>
        <v>4993.6393462488613</v>
      </c>
      <c r="M31" s="22">
        <f t="shared" si="5"/>
        <v>5065.3065650663784</v>
      </c>
      <c r="N31" s="11">
        <f t="shared" si="6"/>
        <v>0.98585135610314678</v>
      </c>
    </row>
    <row r="32" spans="1:14">
      <c r="A32" s="7">
        <v>31</v>
      </c>
      <c r="B32" s="7">
        <v>69.059807509999999</v>
      </c>
      <c r="D32" s="22">
        <f t="shared" si="0"/>
        <v>-0.89659141770007977</v>
      </c>
      <c r="E32" s="11">
        <v>70.163994479999999</v>
      </c>
      <c r="F32" s="28">
        <f t="shared" si="3"/>
        <v>0.20759555229992088</v>
      </c>
      <c r="G32" s="22">
        <f t="shared" si="1"/>
        <v>0.80387617029343894</v>
      </c>
      <c r="H32" s="11">
        <f t="shared" si="2"/>
        <v>-0.18612839054481711</v>
      </c>
      <c r="L32" s="24">
        <f t="shared" si="4"/>
        <v>4845.5119529215026</v>
      </c>
      <c r="M32" s="22">
        <f t="shared" si="5"/>
        <v>4922.9861213894701</v>
      </c>
      <c r="N32" s="11">
        <f t="shared" si="6"/>
        <v>0.98426276927100065</v>
      </c>
    </row>
    <row r="33" spans="1:14">
      <c r="A33" s="7">
        <v>32</v>
      </c>
      <c r="B33" s="7">
        <v>69.269211609999999</v>
      </c>
      <c r="D33" s="22">
        <f t="shared" si="0"/>
        <v>-0.68718731770007935</v>
      </c>
      <c r="E33" s="11">
        <v>69.059807509999999</v>
      </c>
      <c r="F33" s="28">
        <f t="shared" si="3"/>
        <v>-0.89659141770007977</v>
      </c>
      <c r="G33" s="22">
        <f t="shared" si="1"/>
        <v>0.4722264096078298</v>
      </c>
      <c r="H33" s="11">
        <f t="shared" si="2"/>
        <v>0.61612625140222932</v>
      </c>
      <c r="L33" s="24">
        <f t="shared" si="4"/>
        <v>4783.7184201560567</v>
      </c>
      <c r="M33" s="22">
        <f t="shared" si="5"/>
        <v>4769.2570133182526</v>
      </c>
      <c r="N33" s="11">
        <f t="shared" si="6"/>
        <v>1.0030322137803478</v>
      </c>
    </row>
    <row r="34" spans="1:14">
      <c r="A34" s="7">
        <v>33</v>
      </c>
      <c r="B34" s="7">
        <v>70.309751140000003</v>
      </c>
      <c r="D34" s="22">
        <f t="shared" si="0"/>
        <v>0.35335221229992442</v>
      </c>
      <c r="E34" s="11">
        <v>69.269211609999999</v>
      </c>
      <c r="F34" s="28">
        <f t="shared" si="3"/>
        <v>-0.68718731770007935</v>
      </c>
      <c r="G34" s="22">
        <f t="shared" si="1"/>
        <v>0.12485778593725086</v>
      </c>
      <c r="H34" s="11">
        <f t="shared" si="2"/>
        <v>-0.24281915897377404</v>
      </c>
      <c r="L34" s="24">
        <f t="shared" si="4"/>
        <v>4870.3010299630987</v>
      </c>
      <c r="M34" s="22">
        <f t="shared" si="5"/>
        <v>4798.2236770709587</v>
      </c>
      <c r="N34" s="11">
        <f t="shared" si="6"/>
        <v>1.0150216742159339</v>
      </c>
    </row>
    <row r="35" spans="1:14">
      <c r="A35" s="7">
        <v>34</v>
      </c>
      <c r="B35" s="7">
        <v>70.034844759999999</v>
      </c>
      <c r="D35" s="22">
        <f t="shared" si="0"/>
        <v>7.8445832299919971E-2</v>
      </c>
      <c r="E35" s="11">
        <v>70.309751140000003</v>
      </c>
      <c r="F35" s="28">
        <f t="shared" si="3"/>
        <v>0.35335221229992442</v>
      </c>
      <c r="G35" s="22">
        <f t="shared" si="1"/>
        <v>6.1537486052271675E-3</v>
      </c>
      <c r="H35" s="11">
        <f t="shared" si="2"/>
        <v>2.771900838888559E-2</v>
      </c>
      <c r="L35" s="24">
        <f t="shared" si="4"/>
        <v>4924.1325062041333</v>
      </c>
      <c r="M35" s="22">
        <f t="shared" si="5"/>
        <v>4943.4611053687313</v>
      </c>
      <c r="N35" s="11">
        <f t="shared" si="6"/>
        <v>0.99609006751492257</v>
      </c>
    </row>
    <row r="36" spans="1:14">
      <c r="A36" s="7">
        <v>35</v>
      </c>
      <c r="B36" s="7">
        <v>69.474177470000001</v>
      </c>
      <c r="D36" s="22">
        <f t="shared" si="0"/>
        <v>-0.48222145770007785</v>
      </c>
      <c r="E36" s="11">
        <v>70.034844759999999</v>
      </c>
      <c r="F36" s="28">
        <f t="shared" si="3"/>
        <v>7.8445832299919971E-2</v>
      </c>
      <c r="G36" s="22">
        <f t="shared" si="1"/>
        <v>0.23253753426638796</v>
      </c>
      <c r="H36" s="11">
        <f t="shared" si="2"/>
        <v>-3.7828263602163258E-2</v>
      </c>
      <c r="L36" s="24">
        <f t="shared" si="4"/>
        <v>4865.6132339401393</v>
      </c>
      <c r="M36" s="22">
        <f t="shared" si="5"/>
        <v>4904.8794805572988</v>
      </c>
      <c r="N36" s="11">
        <f t="shared" si="6"/>
        <v>0.99199445230554406</v>
      </c>
    </row>
    <row r="37" spans="1:14">
      <c r="A37" s="7">
        <v>36</v>
      </c>
      <c r="B37" s="7">
        <v>70.077317600000001</v>
      </c>
      <c r="D37" s="22">
        <f t="shared" si="0"/>
        <v>0.12091867229992204</v>
      </c>
      <c r="E37" s="11">
        <v>69.474177470000001</v>
      </c>
      <c r="F37" s="28">
        <f t="shared" si="3"/>
        <v>-0.48222145770007785</v>
      </c>
      <c r="G37" s="22">
        <f t="shared" si="1"/>
        <v>1.4621325310775932E-2</v>
      </c>
      <c r="H37" s="11">
        <f t="shared" si="2"/>
        <v>-5.8309578419626432E-2</v>
      </c>
      <c r="L37" s="24">
        <f t="shared" si="4"/>
        <v>4868.5639995639549</v>
      </c>
      <c r="M37" s="22">
        <f t="shared" si="5"/>
        <v>4826.6613351330561</v>
      </c>
      <c r="N37" s="11">
        <f t="shared" si="6"/>
        <v>1.008681500839077</v>
      </c>
    </row>
    <row r="38" spans="1:14">
      <c r="A38" s="7">
        <v>37</v>
      </c>
      <c r="B38" s="7">
        <v>69.286132550000005</v>
      </c>
      <c r="D38" s="22">
        <f t="shared" si="0"/>
        <v>-0.67026637770007369</v>
      </c>
      <c r="E38" s="11">
        <v>70.077317600000001</v>
      </c>
      <c r="F38" s="28">
        <f t="shared" si="3"/>
        <v>0.12091867229992204</v>
      </c>
      <c r="G38" s="22">
        <f t="shared" si="1"/>
        <v>0.44925701707517784</v>
      </c>
      <c r="H38" s="11">
        <f t="shared" si="2"/>
        <v>-8.1047720478770985E-2</v>
      </c>
      <c r="L38" s="24">
        <f t="shared" si="4"/>
        <v>4855.3863159820485</v>
      </c>
      <c r="M38" s="22">
        <f t="shared" si="5"/>
        <v>4910.83044201127</v>
      </c>
      <c r="N38" s="11">
        <f t="shared" si="6"/>
        <v>0.98870982684417141</v>
      </c>
    </row>
    <row r="39" spans="1:14">
      <c r="A39" s="7">
        <v>38</v>
      </c>
      <c r="B39" s="7">
        <v>69.800980879999997</v>
      </c>
      <c r="D39" s="22">
        <f t="shared" si="0"/>
        <v>-0.15541804770008127</v>
      </c>
      <c r="E39" s="11">
        <v>69.286132550000005</v>
      </c>
      <c r="F39" s="28">
        <f t="shared" si="3"/>
        <v>-0.67026637770007369</v>
      </c>
      <c r="G39" s="22">
        <f t="shared" si="1"/>
        <v>2.4154769550904738E-2</v>
      </c>
      <c r="H39" s="11">
        <f t="shared" si="2"/>
        <v>0.10417149186115074</v>
      </c>
      <c r="L39" s="24">
        <f t="shared" si="4"/>
        <v>4836.2400133716956</v>
      </c>
      <c r="M39" s="22">
        <f t="shared" si="5"/>
        <v>4800.5681637361704</v>
      </c>
      <c r="N39" s="11">
        <f t="shared" si="6"/>
        <v>1.0074307557811579</v>
      </c>
    </row>
    <row r="40" spans="1:14">
      <c r="A40" s="7">
        <v>39</v>
      </c>
      <c r="B40" s="7">
        <v>70.915070560000004</v>
      </c>
      <c r="D40" s="22">
        <f t="shared" si="0"/>
        <v>0.95867163229992514</v>
      </c>
      <c r="E40" s="11">
        <v>69.800980879999997</v>
      </c>
      <c r="F40" s="28">
        <f t="shared" si="3"/>
        <v>-0.15541804770008127</v>
      </c>
      <c r="G40" s="22">
        <f t="shared" si="1"/>
        <v>0.91905129857660284</v>
      </c>
      <c r="H40" s="11">
        <f t="shared" si="2"/>
        <v>-0.14899487347750454</v>
      </c>
      <c r="L40" s="24">
        <f t="shared" si="4"/>
        <v>4949.941484262411</v>
      </c>
      <c r="M40" s="22">
        <f t="shared" si="5"/>
        <v>4872.1769318101251</v>
      </c>
      <c r="N40" s="11">
        <f t="shared" si="6"/>
        <v>1.0159609459058365</v>
      </c>
    </row>
    <row r="41" spans="1:14">
      <c r="A41" s="7">
        <v>40</v>
      </c>
      <c r="B41" s="7">
        <v>71.968696609999995</v>
      </c>
      <c r="D41" s="22">
        <f t="shared" si="0"/>
        <v>2.0122976822999163</v>
      </c>
      <c r="E41" s="11">
        <v>70.915070560000004</v>
      </c>
      <c r="F41" s="28">
        <f t="shared" si="3"/>
        <v>0.95867163229992514</v>
      </c>
      <c r="G41" s="22">
        <f t="shared" si="1"/>
        <v>4.0493419621896152</v>
      </c>
      <c r="H41" s="11">
        <f t="shared" si="2"/>
        <v>1.9291327037638171</v>
      </c>
      <c r="L41" s="24">
        <f t="shared" si="4"/>
        <v>5103.6651982093827</v>
      </c>
      <c r="M41" s="22">
        <f t="shared" si="5"/>
        <v>5028.9472325297793</v>
      </c>
      <c r="N41" s="11">
        <f t="shared" si="6"/>
        <v>1.0148575759944924</v>
      </c>
    </row>
    <row r="42" spans="1:14">
      <c r="A42" s="7">
        <v>41</v>
      </c>
      <c r="B42" s="7">
        <v>70.816314790000007</v>
      </c>
      <c r="D42" s="22">
        <f t="shared" si="0"/>
        <v>0.85991586229992834</v>
      </c>
      <c r="E42" s="11">
        <v>71.968696609999995</v>
      </c>
      <c r="F42" s="28">
        <f t="shared" si="3"/>
        <v>2.0122976822999163</v>
      </c>
      <c r="G42" s="22">
        <f t="shared" si="1"/>
        <v>0.73945529023502932</v>
      </c>
      <c r="H42" s="11">
        <f t="shared" si="2"/>
        <v>1.7304066966790799</v>
      </c>
      <c r="L42" s="24">
        <f t="shared" si="4"/>
        <v>5096.5578741597656</v>
      </c>
      <c r="M42" s="22">
        <f t="shared" si="5"/>
        <v>5179.4932917422248</v>
      </c>
      <c r="N42" s="11">
        <f t="shared" si="6"/>
        <v>0.98398773530324191</v>
      </c>
    </row>
    <row r="43" spans="1:14">
      <c r="A43" s="7">
        <v>42</v>
      </c>
      <c r="B43" s="7">
        <v>71.266777129999994</v>
      </c>
      <c r="D43" s="22">
        <f t="shared" si="0"/>
        <v>1.3103782022999155</v>
      </c>
      <c r="E43" s="11">
        <v>70.816314790000007</v>
      </c>
      <c r="F43" s="28">
        <f t="shared" si="3"/>
        <v>0.85991586229992834</v>
      </c>
      <c r="G43" s="22">
        <f t="shared" si="1"/>
        <v>1.7170910330627585</v>
      </c>
      <c r="H43" s="11">
        <f t="shared" si="2"/>
        <v>1.1268150017697618</v>
      </c>
      <c r="L43" s="24">
        <f t="shared" si="4"/>
        <v>5046.8505233068527</v>
      </c>
      <c r="M43" s="22">
        <f t="shared" si="5"/>
        <v>5014.9504404363734</v>
      </c>
      <c r="N43" s="11">
        <f t="shared" si="6"/>
        <v>1.0063609966338378</v>
      </c>
    </row>
    <row r="44" spans="1:14">
      <c r="A44" s="7">
        <v>43</v>
      </c>
      <c r="B44" s="7">
        <v>71.54958173</v>
      </c>
      <c r="D44" s="22">
        <f t="shared" si="0"/>
        <v>1.5931828022999213</v>
      </c>
      <c r="E44" s="11">
        <v>71.266777129999994</v>
      </c>
      <c r="F44" s="28">
        <f t="shared" si="3"/>
        <v>1.3103782022999155</v>
      </c>
      <c r="G44" s="22">
        <f t="shared" si="1"/>
        <v>2.5382314415442302</v>
      </c>
      <c r="H44" s="11">
        <f t="shared" si="2"/>
        <v>2.0876720164129123</v>
      </c>
      <c r="L44" s="24">
        <f t="shared" si="4"/>
        <v>5099.1080948966292</v>
      </c>
      <c r="M44" s="22">
        <f t="shared" si="5"/>
        <v>5078.9535224970905</v>
      </c>
      <c r="N44" s="11">
        <f t="shared" si="6"/>
        <v>1.0039682529698815</v>
      </c>
    </row>
    <row r="45" spans="1:14">
      <c r="A45" s="7">
        <v>44</v>
      </c>
      <c r="B45" s="7">
        <v>69.553503259999999</v>
      </c>
      <c r="D45" s="22">
        <f t="shared" si="0"/>
        <v>-0.40289566770007923</v>
      </c>
      <c r="E45" s="11">
        <v>71.54958173</v>
      </c>
      <c r="F45" s="28">
        <f t="shared" si="3"/>
        <v>1.5931828022999213</v>
      </c>
      <c r="G45" s="22">
        <f t="shared" si="1"/>
        <v>0.16232491905149266</v>
      </c>
      <c r="H45" s="11">
        <f t="shared" si="2"/>
        <v>-0.64188644890091007</v>
      </c>
      <c r="L45" s="24">
        <f t="shared" si="4"/>
        <v>4976.5240661091912</v>
      </c>
      <c r="M45" s="22">
        <f t="shared" si="5"/>
        <v>5119.3426457379501</v>
      </c>
      <c r="N45" s="11">
        <f t="shared" si="6"/>
        <v>0.97210216437697117</v>
      </c>
    </row>
    <row r="46" spans="1:14">
      <c r="A46" s="7">
        <v>45</v>
      </c>
      <c r="B46" s="7">
        <v>68.049288919999995</v>
      </c>
      <c r="D46" s="22">
        <f t="shared" si="0"/>
        <v>-1.9071100077000835</v>
      </c>
      <c r="E46" s="11">
        <v>69.553503259999999</v>
      </c>
      <c r="F46" s="28">
        <f t="shared" si="3"/>
        <v>-0.40289566770007923</v>
      </c>
      <c r="G46" s="22">
        <f t="shared" si="1"/>
        <v>3.6370685814698125</v>
      </c>
      <c r="H46" s="11">
        <f t="shared" si="2"/>
        <v>0.76836635992982838</v>
      </c>
      <c r="L46" s="24">
        <f t="shared" si="4"/>
        <v>4733.0664387379011</v>
      </c>
      <c r="M46" s="22">
        <f t="shared" si="5"/>
        <v>4837.6898157388305</v>
      </c>
      <c r="N46" s="11">
        <f t="shared" si="6"/>
        <v>0.9783732771248479</v>
      </c>
    </row>
    <row r="47" spans="1:14">
      <c r="A47" s="7">
        <v>46</v>
      </c>
      <c r="B47" s="7">
        <v>68.658558740000004</v>
      </c>
      <c r="D47" s="22">
        <f t="shared" si="0"/>
        <v>-1.2978401877000749</v>
      </c>
      <c r="E47" s="11">
        <v>68.049288919999995</v>
      </c>
      <c r="F47" s="28">
        <f t="shared" si="3"/>
        <v>-1.9071100077000835</v>
      </c>
      <c r="G47" s="22">
        <f t="shared" si="1"/>
        <v>1.6843891528093657</v>
      </c>
      <c r="H47" s="11">
        <f t="shared" si="2"/>
        <v>2.4751240103581678</v>
      </c>
      <c r="L47" s="24">
        <f t="shared" si="4"/>
        <v>4672.1661005290507</v>
      </c>
      <c r="M47" s="22">
        <f t="shared" si="5"/>
        <v>4630.7057225176341</v>
      </c>
      <c r="N47" s="11">
        <f t="shared" si="6"/>
        <v>1.0089533605665781</v>
      </c>
    </row>
    <row r="48" spans="1:14">
      <c r="A48" s="7">
        <v>47</v>
      </c>
      <c r="B48" s="7">
        <v>70.809284059999996</v>
      </c>
      <c r="D48" s="22">
        <f t="shared" si="0"/>
        <v>0.85288513229991736</v>
      </c>
      <c r="E48" s="11">
        <v>68.658558740000004</v>
      </c>
      <c r="F48" s="28">
        <f t="shared" si="3"/>
        <v>-1.2978401877000749</v>
      </c>
      <c r="G48" s="22">
        <f t="shared" si="1"/>
        <v>0.72741304889824754</v>
      </c>
      <c r="H48" s="11">
        <f t="shared" si="2"/>
        <v>-1.106908600190728</v>
      </c>
      <c r="L48" s="24">
        <f t="shared" si="4"/>
        <v>4861.6633889708555</v>
      </c>
      <c r="M48" s="22">
        <f t="shared" si="5"/>
        <v>4713.9976882540313</v>
      </c>
      <c r="N48" s="11">
        <f t="shared" si="6"/>
        <v>1.0313249412668923</v>
      </c>
    </row>
    <row r="49" spans="1:14">
      <c r="A49" s="7">
        <v>48</v>
      </c>
      <c r="B49" s="7">
        <v>70.81571581</v>
      </c>
      <c r="D49" s="22">
        <f t="shared" si="0"/>
        <v>0.85931688229992176</v>
      </c>
      <c r="E49" s="11">
        <v>70.809284059999996</v>
      </c>
      <c r="F49" s="28">
        <f t="shared" si="3"/>
        <v>0.85288513229991736</v>
      </c>
      <c r="G49" s="22">
        <f t="shared" si="1"/>
        <v>0.73842550420565756</v>
      </c>
      <c r="H49" s="11">
        <f t="shared" si="2"/>
        <v>0.73289859284792125</v>
      </c>
      <c r="L49" s="24">
        <f t="shared" si="4"/>
        <v>5014.4101367025223</v>
      </c>
      <c r="M49" s="22">
        <f t="shared" si="5"/>
        <v>5013.9547090897695</v>
      </c>
      <c r="N49" s="11">
        <f t="shared" si="6"/>
        <v>1.0000908320156796</v>
      </c>
    </row>
    <row r="50" spans="1:14">
      <c r="A50" s="7">
        <v>49</v>
      </c>
      <c r="B50" s="7">
        <v>69.645986710000003</v>
      </c>
      <c r="D50" s="22">
        <f t="shared" si="0"/>
        <v>-0.3104122177000761</v>
      </c>
      <c r="E50" s="11">
        <v>70.81571581</v>
      </c>
      <c r="F50" s="28">
        <f t="shared" si="3"/>
        <v>0.85931688229992176</v>
      </c>
      <c r="G50" s="22">
        <f t="shared" si="1"/>
        <v>9.6355744897479431E-2</v>
      </c>
      <c r="H50" s="11">
        <f t="shared" si="2"/>
        <v>-0.26674245914183398</v>
      </c>
      <c r="L50" s="24">
        <f t="shared" si="4"/>
        <v>4932.030402162397</v>
      </c>
      <c r="M50" s="22">
        <f t="shared" si="5"/>
        <v>5014.865605682684</v>
      </c>
      <c r="N50" s="11">
        <f t="shared" si="6"/>
        <v>0.98348206910541713</v>
      </c>
    </row>
    <row r="51" spans="1:14">
      <c r="A51" s="7">
        <v>50</v>
      </c>
      <c r="B51" s="7">
        <v>71.095120460000004</v>
      </c>
      <c r="D51" s="22">
        <f t="shared" si="0"/>
        <v>1.1387215322999253</v>
      </c>
      <c r="E51" s="11">
        <v>69.645986710000003</v>
      </c>
      <c r="F51" s="28">
        <f t="shared" si="3"/>
        <v>-0.3104122177000761</v>
      </c>
      <c r="G51" s="22">
        <f t="shared" si="1"/>
        <v>1.29668672812349</v>
      </c>
      <c r="H51" s="11">
        <f t="shared" si="2"/>
        <v>-0.35347307618404866</v>
      </c>
      <c r="L51" s="24">
        <f t="shared" si="4"/>
        <v>4951.4898147030099</v>
      </c>
      <c r="M51" s="22">
        <f t="shared" si="5"/>
        <v>4850.5634648094974</v>
      </c>
      <c r="N51" s="11">
        <f t="shared" si="6"/>
        <v>1.0208071393407645</v>
      </c>
    </row>
    <row r="52" spans="1:14">
      <c r="A52" s="7">
        <v>51</v>
      </c>
      <c r="B52" s="7">
        <v>71.050180749999996</v>
      </c>
      <c r="D52" s="22">
        <f t="shared" si="0"/>
        <v>1.0937818222999169</v>
      </c>
      <c r="E52" s="11">
        <v>71.095120460000004</v>
      </c>
      <c r="F52" s="28">
        <f t="shared" si="3"/>
        <v>1.1387215322999253</v>
      </c>
      <c r="G52" s="22">
        <f t="shared" si="1"/>
        <v>1.1963586747937272</v>
      </c>
      <c r="H52" s="11">
        <f t="shared" si="2"/>
        <v>1.2455129126911662</v>
      </c>
      <c r="L52" s="24">
        <f t="shared" si="4"/>
        <v>5051.3211591260233</v>
      </c>
      <c r="M52" s="22">
        <f t="shared" si="5"/>
        <v>5054.5161532219108</v>
      </c>
      <c r="N52" s="11">
        <f t="shared" si="6"/>
        <v>0.99936789318719443</v>
      </c>
    </row>
    <row r="53" spans="1:14">
      <c r="A53" s="7">
        <v>52</v>
      </c>
      <c r="B53" s="7">
        <v>67.980978039999997</v>
      </c>
      <c r="D53" s="22">
        <f t="shared" si="0"/>
        <v>-1.9754208877000821</v>
      </c>
      <c r="E53" s="11">
        <v>71.050180749999996</v>
      </c>
      <c r="F53" s="28">
        <f t="shared" si="3"/>
        <v>1.0937818222999169</v>
      </c>
      <c r="G53" s="22">
        <f t="shared" si="1"/>
        <v>3.9022876835617804</v>
      </c>
      <c r="H53" s="11">
        <f t="shared" si="2"/>
        <v>-2.1606794583579152</v>
      </c>
      <c r="L53" s="24">
        <f t="shared" si="4"/>
        <v>4830.06077730378</v>
      </c>
      <c r="M53" s="22">
        <f t="shared" si="5"/>
        <v>5048.1281846076699</v>
      </c>
      <c r="N53" s="11">
        <f t="shared" si="6"/>
        <v>0.95680232368726237</v>
      </c>
    </row>
    <row r="54" spans="1:14">
      <c r="A54" s="7">
        <v>53</v>
      </c>
      <c r="B54" s="7">
        <v>68.790693219999994</v>
      </c>
      <c r="D54" s="22">
        <f t="shared" si="0"/>
        <v>-1.1657057077000843</v>
      </c>
      <c r="E54" s="11">
        <v>67.980978039999997</v>
      </c>
      <c r="F54" s="28">
        <f t="shared" si="3"/>
        <v>-1.9754208877000821</v>
      </c>
      <c r="G54" s="22">
        <f t="shared" si="1"/>
        <v>1.3588697969645545</v>
      </c>
      <c r="H54" s="11">
        <f t="shared" si="2"/>
        <v>2.3027594039019528</v>
      </c>
      <c r="L54" s="24">
        <f t="shared" si="4"/>
        <v>4676.4586051451961</v>
      </c>
      <c r="M54" s="22">
        <f t="shared" si="5"/>
        <v>4621.4133752749622</v>
      </c>
      <c r="N54" s="11">
        <f t="shared" si="6"/>
        <v>1.0119109080708364</v>
      </c>
    </row>
    <row r="55" spans="1:14">
      <c r="A55" s="7">
        <v>54</v>
      </c>
      <c r="B55" s="7">
        <v>70.400163140000004</v>
      </c>
      <c r="D55" s="22">
        <f t="shared" si="0"/>
        <v>0.44376421229992502</v>
      </c>
      <c r="E55" s="11">
        <v>68.790693219999994</v>
      </c>
      <c r="F55" s="28">
        <f t="shared" si="3"/>
        <v>-1.1657057077000843</v>
      </c>
      <c r="G55" s="22">
        <f t="shared" si="1"/>
        <v>0.19692667611817294</v>
      </c>
      <c r="H55" s="11">
        <f t="shared" si="2"/>
        <v>-0.51729847515105454</v>
      </c>
      <c r="L55" s="24">
        <f t="shared" si="4"/>
        <v>4842.8760252016918</v>
      </c>
      <c r="M55" s="22">
        <f t="shared" si="5"/>
        <v>4732.1594736881534</v>
      </c>
      <c r="N55" s="11">
        <f t="shared" si="6"/>
        <v>1.0233966230701115</v>
      </c>
    </row>
    <row r="56" spans="1:14">
      <c r="A56" s="7">
        <v>55</v>
      </c>
      <c r="B56" s="7">
        <v>70.828498569999994</v>
      </c>
      <c r="D56" s="22">
        <f t="shared" si="0"/>
        <v>0.87209964229991499</v>
      </c>
      <c r="E56" s="11">
        <v>70.400163140000004</v>
      </c>
      <c r="F56" s="28">
        <f t="shared" si="3"/>
        <v>0.44376421229992502</v>
      </c>
      <c r="G56" s="22">
        <f t="shared" si="1"/>
        <v>0.76055778609963964</v>
      </c>
      <c r="H56" s="11">
        <f t="shared" si="2"/>
        <v>0.38700661081226817</v>
      </c>
      <c r="L56" s="24">
        <f t="shared" si="4"/>
        <v>4986.3378542892569</v>
      </c>
      <c r="M56" s="22">
        <f t="shared" si="5"/>
        <v>4956.182970138615</v>
      </c>
      <c r="N56" s="11">
        <f t="shared" si="6"/>
        <v>1.0060842959859084</v>
      </c>
    </row>
    <row r="57" spans="1:14">
      <c r="A57" s="7">
        <v>56</v>
      </c>
      <c r="B57" s="7">
        <v>70.826762299999999</v>
      </c>
      <c r="D57" s="22">
        <f t="shared" si="0"/>
        <v>0.87036337229992</v>
      </c>
      <c r="E57" s="11">
        <v>70.828498569999994</v>
      </c>
      <c r="F57" s="28">
        <f t="shared" si="3"/>
        <v>0.87209964229991499</v>
      </c>
      <c r="G57" s="22">
        <f t="shared" si="1"/>
        <v>0.75753239984128917</v>
      </c>
      <c r="H57" s="11">
        <f t="shared" si="2"/>
        <v>0.759043585653708</v>
      </c>
      <c r="L57" s="24">
        <f t="shared" si="4"/>
        <v>5016.5532322832796</v>
      </c>
      <c r="M57" s="22">
        <f t="shared" si="5"/>
        <v>5016.6762096804914</v>
      </c>
      <c r="N57" s="11">
        <f t="shared" si="6"/>
        <v>0.99997548627974542</v>
      </c>
    </row>
    <row r="58" spans="1:14">
      <c r="A58" s="7">
        <v>57</v>
      </c>
      <c r="B58" s="7">
        <v>70.180232200000006</v>
      </c>
      <c r="D58" s="22">
        <f t="shared" si="0"/>
        <v>0.22383327229992744</v>
      </c>
      <c r="E58" s="11">
        <v>70.826762299999999</v>
      </c>
      <c r="F58" s="28">
        <f t="shared" si="3"/>
        <v>0.87036337229992</v>
      </c>
      <c r="G58" s="22">
        <f t="shared" si="1"/>
        <v>5.0101333788493463E-2</v>
      </c>
      <c r="H58" s="11">
        <f t="shared" si="2"/>
        <v>0.19481628171189111</v>
      </c>
      <c r="L58" s="24">
        <f t="shared" si="4"/>
        <v>4970.6386241882064</v>
      </c>
      <c r="M58" s="22">
        <f t="shared" si="5"/>
        <v>5016.4302579007008</v>
      </c>
      <c r="N58" s="11">
        <f t="shared" si="6"/>
        <v>0.99087166942261895</v>
      </c>
    </row>
    <row r="59" spans="1:14">
      <c r="A59" s="7">
        <v>58</v>
      </c>
      <c r="B59" s="7">
        <v>68.541714760000005</v>
      </c>
      <c r="D59" s="22">
        <f t="shared" si="0"/>
        <v>-1.4146841677000737</v>
      </c>
      <c r="E59" s="11">
        <v>70.180232200000006</v>
      </c>
      <c r="F59" s="28">
        <f t="shared" si="3"/>
        <v>0.22383327229992744</v>
      </c>
      <c r="G59" s="22">
        <f t="shared" si="1"/>
        <v>2.00133129434125</v>
      </c>
      <c r="H59" s="11">
        <f t="shared" si="2"/>
        <v>-0.31665338652720681</v>
      </c>
      <c r="L59" s="24">
        <f t="shared" si="4"/>
        <v>4810.2734572429681</v>
      </c>
      <c r="M59" s="22">
        <f t="shared" si="5"/>
        <v>4925.2649916459177</v>
      </c>
      <c r="N59" s="11">
        <f t="shared" si="6"/>
        <v>0.9766527213057582</v>
      </c>
    </row>
    <row r="60" spans="1:14">
      <c r="A60" s="7">
        <v>59</v>
      </c>
      <c r="B60" s="7">
        <v>68.700255189999993</v>
      </c>
      <c r="D60" s="22">
        <f t="shared" si="0"/>
        <v>-1.2561437377000857</v>
      </c>
      <c r="E60" s="11">
        <v>68.541714760000005</v>
      </c>
      <c r="F60" s="28">
        <f t="shared" si="3"/>
        <v>-1.4146841677000737</v>
      </c>
      <c r="G60" s="22">
        <f t="shared" si="1"/>
        <v>1.5778970897631417</v>
      </c>
      <c r="H60" s="11">
        <f t="shared" si="2"/>
        <v>1.7770466580799054</v>
      </c>
      <c r="L60" s="24">
        <f t="shared" si="4"/>
        <v>4708.8332951721895</v>
      </c>
      <c r="M60" s="22">
        <f t="shared" si="5"/>
        <v>4697.9666622412024</v>
      </c>
      <c r="N60" s="11">
        <f t="shared" si="6"/>
        <v>1.0023130502432733</v>
      </c>
    </row>
    <row r="61" spans="1:14">
      <c r="A61" s="7">
        <v>60</v>
      </c>
      <c r="B61" s="7">
        <v>68.71202289</v>
      </c>
      <c r="D61" s="22">
        <f t="shared" si="0"/>
        <v>-1.2443760377000785</v>
      </c>
      <c r="E61" s="11">
        <v>68.700255189999993</v>
      </c>
      <c r="F61" s="28">
        <f t="shared" si="3"/>
        <v>-1.2561437377000857</v>
      </c>
      <c r="G61" s="22">
        <f t="shared" si="1"/>
        <v>1.5484717232021472</v>
      </c>
      <c r="H61" s="11">
        <f t="shared" si="2"/>
        <v>1.5631151671009995</v>
      </c>
      <c r="L61" s="24">
        <f t="shared" si="4"/>
        <v>4720.5335071641211</v>
      </c>
      <c r="M61" s="22">
        <f t="shared" si="5"/>
        <v>4719.7250631711213</v>
      </c>
      <c r="N61" s="11">
        <f t="shared" si="6"/>
        <v>1.0001712904845472</v>
      </c>
    </row>
    <row r="62" spans="1:14">
      <c r="A62" s="7">
        <v>61</v>
      </c>
      <c r="B62" s="7">
        <v>68.684396269999993</v>
      </c>
      <c r="D62" s="22">
        <f t="shared" si="0"/>
        <v>-1.2720026577000851</v>
      </c>
      <c r="E62" s="11">
        <v>68.71202289</v>
      </c>
      <c r="F62" s="28">
        <f t="shared" si="3"/>
        <v>-1.2443760377000785</v>
      </c>
      <c r="G62" s="22">
        <f t="shared" si="1"/>
        <v>1.61799076119608</v>
      </c>
      <c r="H62" s="11">
        <f t="shared" si="2"/>
        <v>1.5828496271328012</v>
      </c>
      <c r="L62" s="24">
        <f t="shared" si="4"/>
        <v>4719.44380869007</v>
      </c>
      <c r="M62" s="22">
        <f t="shared" si="5"/>
        <v>4721.3420896358839</v>
      </c>
      <c r="N62" s="11">
        <f t="shared" si="6"/>
        <v>0.99959793615675918</v>
      </c>
    </row>
    <row r="63" spans="1:14">
      <c r="A63" s="7">
        <v>62</v>
      </c>
      <c r="B63" s="7">
        <v>68.333962540000002</v>
      </c>
      <c r="D63" s="22">
        <f t="shared" si="0"/>
        <v>-1.6224363877000769</v>
      </c>
      <c r="E63" s="11">
        <v>68.684396269999993</v>
      </c>
      <c r="F63" s="28">
        <f t="shared" si="3"/>
        <v>-1.2720026577000851</v>
      </c>
      <c r="G63" s="22">
        <f t="shared" si="1"/>
        <v>2.6322998321332745</v>
      </c>
      <c r="H63" s="11">
        <f t="shared" si="2"/>
        <v>2.0637433971038237</v>
      </c>
      <c r="L63" s="24">
        <f t="shared" si="4"/>
        <v>4693.4769617966958</v>
      </c>
      <c r="M63" s="22">
        <f t="shared" si="5"/>
        <v>4717.5462909743892</v>
      </c>
      <c r="N63" s="11">
        <f t="shared" si="6"/>
        <v>0.99489791351412005</v>
      </c>
    </row>
    <row r="64" spans="1:14">
      <c r="A64" s="7">
        <v>63</v>
      </c>
      <c r="B64" s="7">
        <v>69.847547739999996</v>
      </c>
      <c r="D64" s="22">
        <f t="shared" si="0"/>
        <v>-0.10885118770008262</v>
      </c>
      <c r="E64" s="11">
        <v>68.333962540000002</v>
      </c>
      <c r="F64" s="28">
        <f t="shared" si="3"/>
        <v>-1.6224363877000769</v>
      </c>
      <c r="G64" s="22">
        <f t="shared" si="1"/>
        <v>1.1848581063718618E-2</v>
      </c>
      <c r="H64" s="11">
        <f t="shared" si="2"/>
        <v>0.1766041277689851</v>
      </c>
      <c r="L64" s="24">
        <f t="shared" si="4"/>
        <v>4772.9597107760219</v>
      </c>
      <c r="M64" s="22">
        <f t="shared" si="5"/>
        <v>4669.5304364181238</v>
      </c>
      <c r="N64" s="11">
        <f t="shared" si="6"/>
        <v>1.0221498233636606</v>
      </c>
    </row>
    <row r="65" spans="1:14">
      <c r="A65" s="7">
        <v>64</v>
      </c>
      <c r="B65" s="7">
        <v>70.506236029999997</v>
      </c>
      <c r="D65" s="22">
        <f t="shared" si="0"/>
        <v>0.549837102299918</v>
      </c>
      <c r="E65" s="11">
        <v>69.847547739999996</v>
      </c>
      <c r="F65" s="28">
        <f t="shared" si="3"/>
        <v>-0.10885118770008262</v>
      </c>
      <c r="G65" s="22">
        <f t="shared" si="1"/>
        <v>0.3023208390655705</v>
      </c>
      <c r="H65" s="11">
        <f t="shared" si="2"/>
        <v>-5.98504216269179E-2</v>
      </c>
      <c r="L65" s="24">
        <f t="shared" si="4"/>
        <v>4924.6876870731321</v>
      </c>
      <c r="M65" s="22">
        <f t="shared" si="5"/>
        <v>4878.6799252915789</v>
      </c>
      <c r="N65" s="11">
        <f t="shared" si="6"/>
        <v>1.0094303710196368</v>
      </c>
    </row>
    <row r="66" spans="1:14">
      <c r="A66" s="7">
        <v>65</v>
      </c>
      <c r="B66" s="7">
        <v>69.901311930000006</v>
      </c>
      <c r="D66" s="22">
        <f t="shared" ref="D66:D129" si="7">B66-$C$2</f>
        <v>-5.508699770007297E-2</v>
      </c>
      <c r="E66" s="11">
        <v>70.506236029999997</v>
      </c>
      <c r="F66" s="28">
        <f t="shared" si="3"/>
        <v>0.549837102299918</v>
      </c>
      <c r="G66" s="22">
        <f t="shared" ref="G66:G129" si="8">(B66-$C$2)^2</f>
        <v>3.0345773156078447E-3</v>
      </c>
      <c r="H66" s="11">
        <f t="shared" ref="H66:H129" si="9">D66*F66</f>
        <v>-3.0288875189810369E-2</v>
      </c>
      <c r="L66" s="24">
        <f t="shared" si="4"/>
        <v>4928.4783977432353</v>
      </c>
      <c r="M66" s="22">
        <f t="shared" si="5"/>
        <v>4971.1293191180694</v>
      </c>
      <c r="N66" s="11">
        <f t="shared" si="6"/>
        <v>0.9914202752258312</v>
      </c>
    </row>
    <row r="67" spans="1:14">
      <c r="A67" s="7">
        <v>66</v>
      </c>
      <c r="B67" s="7">
        <v>69.139578420000007</v>
      </c>
      <c r="D67" s="22">
        <f t="shared" si="7"/>
        <v>-0.81682050770007208</v>
      </c>
      <c r="E67" s="11">
        <v>69.901311930000006</v>
      </c>
      <c r="F67" s="28">
        <f t="shared" ref="F67:F130" si="10">E67-$C$2</f>
        <v>-5.508699770007297E-2</v>
      </c>
      <c r="G67" s="22">
        <f t="shared" si="8"/>
        <v>0.66719574179940355</v>
      </c>
      <c r="H67" s="11">
        <f t="shared" si="9"/>
        <v>4.4996189429046304E-2</v>
      </c>
      <c r="L67" s="24">
        <f t="shared" ref="L67:L130" si="11">B67*E67</f>
        <v>4832.9472378451173</v>
      </c>
      <c r="M67" s="22">
        <f t="shared" ref="M67:M130" si="12">E67^2</f>
        <v>4886.1934095351608</v>
      </c>
      <c r="N67" s="11">
        <f t="shared" ref="N67:N130" si="13">L67/M67</f>
        <v>0.98910272941997424</v>
      </c>
    </row>
    <row r="68" spans="1:14">
      <c r="A68" s="7">
        <v>67</v>
      </c>
      <c r="B68" s="7">
        <v>69.489930369999996</v>
      </c>
      <c r="D68" s="22">
        <f t="shared" si="7"/>
        <v>-0.46646855770008244</v>
      </c>
      <c r="E68" s="11">
        <v>69.139578420000007</v>
      </c>
      <c r="F68" s="28">
        <f t="shared" si="10"/>
        <v>-0.81682050770007208</v>
      </c>
      <c r="G68" s="22">
        <f t="shared" si="8"/>
        <v>0.21759291532279515</v>
      </c>
      <c r="H68" s="11">
        <f t="shared" si="9"/>
        <v>0.38102108412670171</v>
      </c>
      <c r="L68" s="24">
        <f t="shared" si="11"/>
        <v>4804.5044902169548</v>
      </c>
      <c r="M68" s="22">
        <f t="shared" si="12"/>
        <v>4780.2813040953306</v>
      </c>
      <c r="N68" s="11">
        <f t="shared" si="13"/>
        <v>1.0050673139467488</v>
      </c>
    </row>
    <row r="69" spans="1:14">
      <c r="A69" s="7">
        <v>68</v>
      </c>
      <c r="B69" s="7">
        <v>71.031279420000004</v>
      </c>
      <c r="D69" s="22">
        <f t="shared" si="7"/>
        <v>1.0748804922999255</v>
      </c>
      <c r="E69" s="11">
        <v>69.489930369999996</v>
      </c>
      <c r="F69" s="28">
        <f t="shared" si="10"/>
        <v>-0.46646855770008244</v>
      </c>
      <c r="G69" s="22">
        <f t="shared" si="8"/>
        <v>1.1553680727269302</v>
      </c>
      <c r="H69" s="11">
        <f t="shared" si="9"/>
        <v>-0.50139795294310086</v>
      </c>
      <c r="L69" s="24">
        <f t="shared" si="11"/>
        <v>4935.9586609878143</v>
      </c>
      <c r="M69" s="22">
        <f t="shared" si="12"/>
        <v>4828.8504228274478</v>
      </c>
      <c r="N69" s="11">
        <f t="shared" si="13"/>
        <v>1.0221808978911489</v>
      </c>
    </row>
    <row r="70" spans="1:14">
      <c r="A70" s="7">
        <v>69</v>
      </c>
      <c r="B70" s="7">
        <v>68.767572830000006</v>
      </c>
      <c r="D70" s="22">
        <f t="shared" si="7"/>
        <v>-1.1888260977000726</v>
      </c>
      <c r="E70" s="11">
        <v>71.031279420000004</v>
      </c>
      <c r="F70" s="28">
        <f t="shared" si="10"/>
        <v>1.0748804922999255</v>
      </c>
      <c r="G70" s="22">
        <f t="shared" si="8"/>
        <v>1.4133074905727827</v>
      </c>
      <c r="H70" s="11">
        <f t="shared" si="9"/>
        <v>-1.2778459811548535</v>
      </c>
      <c r="L70" s="24">
        <f t="shared" si="11"/>
        <v>4884.6486807229312</v>
      </c>
      <c r="M70" s="22">
        <f t="shared" si="12"/>
        <v>5045.4426560421161</v>
      </c>
      <c r="N70" s="11">
        <f t="shared" si="13"/>
        <v>0.96813084871222788</v>
      </c>
    </row>
    <row r="71" spans="1:14">
      <c r="A71" s="7">
        <v>70</v>
      </c>
      <c r="B71" s="7">
        <v>69.328036389999994</v>
      </c>
      <c r="D71" s="22">
        <f t="shared" si="7"/>
        <v>-0.62836253770008454</v>
      </c>
      <c r="E71" s="11">
        <v>68.767572830000006</v>
      </c>
      <c r="F71" s="28">
        <f t="shared" si="10"/>
        <v>-1.1888260977000726</v>
      </c>
      <c r="G71" s="22">
        <f t="shared" si="8"/>
        <v>0.39483947878489017</v>
      </c>
      <c r="H71" s="11">
        <f t="shared" si="9"/>
        <v>0.74701378363490634</v>
      </c>
      <c r="L71" s="24">
        <f t="shared" si="11"/>
        <v>4767.5207916102154</v>
      </c>
      <c r="M71" s="22">
        <f t="shared" si="12"/>
        <v>4728.9790729293554</v>
      </c>
      <c r="N71" s="11">
        <f t="shared" si="13"/>
        <v>1.0081501140280973</v>
      </c>
    </row>
    <row r="72" spans="1:14">
      <c r="A72" s="7">
        <v>71</v>
      </c>
      <c r="B72" s="7">
        <v>69.420838009999997</v>
      </c>
      <c r="D72" s="22">
        <f t="shared" si="7"/>
        <v>-0.53556091770008152</v>
      </c>
      <c r="E72" s="11">
        <v>69.328036389999994</v>
      </c>
      <c r="F72" s="28">
        <f t="shared" si="10"/>
        <v>-0.62836253770008454</v>
      </c>
      <c r="G72" s="22">
        <f t="shared" si="8"/>
        <v>0.28682549656775347</v>
      </c>
      <c r="H72" s="11">
        <f t="shared" si="9"/>
        <v>0.33652641733900934</v>
      </c>
      <c r="L72" s="24">
        <f t="shared" si="11"/>
        <v>4812.8103837815743</v>
      </c>
      <c r="M72" s="22">
        <f t="shared" si="12"/>
        <v>4806.3766296931635</v>
      </c>
      <c r="N72" s="11">
        <f t="shared" si="13"/>
        <v>1.0013385871695246</v>
      </c>
    </row>
    <row r="73" spans="1:14">
      <c r="A73" s="7">
        <v>72</v>
      </c>
      <c r="B73" s="7">
        <v>67.969506050000007</v>
      </c>
      <c r="D73" s="22">
        <f t="shared" si="7"/>
        <v>-1.9868928777000718</v>
      </c>
      <c r="E73" s="11">
        <v>69.420838009999997</v>
      </c>
      <c r="F73" s="28">
        <f t="shared" si="10"/>
        <v>-0.53556091770008152</v>
      </c>
      <c r="G73" s="22">
        <f t="shared" si="8"/>
        <v>3.9477433074552728</v>
      </c>
      <c r="H73" s="11">
        <f t="shared" si="9"/>
        <v>1.0641021729528064</v>
      </c>
      <c r="L73" s="24">
        <f t="shared" si="11"/>
        <v>4718.5000691167652</v>
      </c>
      <c r="M73" s="22">
        <f t="shared" si="12"/>
        <v>4819.2527500106607</v>
      </c>
      <c r="N73" s="11">
        <f t="shared" si="13"/>
        <v>0.97909371304634885</v>
      </c>
    </row>
    <row r="74" spans="1:14">
      <c r="A74" s="7">
        <v>73</v>
      </c>
      <c r="B74" s="7">
        <v>67.009749139999997</v>
      </c>
      <c r="D74" s="22">
        <f t="shared" si="7"/>
        <v>-2.9466497877000819</v>
      </c>
      <c r="E74" s="11">
        <v>67.969506050000007</v>
      </c>
      <c r="F74" s="28">
        <f t="shared" si="10"/>
        <v>-1.9868928777000718</v>
      </c>
      <c r="G74" s="22">
        <f t="shared" si="8"/>
        <v>8.6827449713529372</v>
      </c>
      <c r="H74" s="11">
        <f t="shared" si="9"/>
        <v>5.8546774762577218</v>
      </c>
      <c r="L74" s="24">
        <f t="shared" si="11"/>
        <v>4554.6195495802122</v>
      </c>
      <c r="M74" s="22">
        <f t="shared" si="12"/>
        <v>4619.8537526809878</v>
      </c>
      <c r="N74" s="11">
        <f t="shared" si="13"/>
        <v>0.98587959563375382</v>
      </c>
    </row>
    <row r="75" spans="1:14">
      <c r="A75" s="7">
        <v>74</v>
      </c>
      <c r="B75" s="7">
        <v>67.902214180000001</v>
      </c>
      <c r="D75" s="22">
        <f t="shared" si="7"/>
        <v>-2.0541847477000772</v>
      </c>
      <c r="E75" s="11">
        <v>67.009749139999997</v>
      </c>
      <c r="F75" s="28">
        <f t="shared" si="10"/>
        <v>-2.9466497877000819</v>
      </c>
      <c r="G75" s="22">
        <f t="shared" si="8"/>
        <v>4.2196749776836295</v>
      </c>
      <c r="H75" s="11">
        <f t="shared" si="9"/>
        <v>6.052963050707179</v>
      </c>
      <c r="L75" s="24">
        <f t="shared" si="11"/>
        <v>4550.1103382523506</v>
      </c>
      <c r="M75" s="22">
        <f t="shared" si="12"/>
        <v>4490.3064798057303</v>
      </c>
      <c r="N75" s="11">
        <f t="shared" si="13"/>
        <v>1.0133184357717178</v>
      </c>
    </row>
    <row r="76" spans="1:14">
      <c r="A76" s="7">
        <v>75</v>
      </c>
      <c r="B76" s="7">
        <v>69.857913319999994</v>
      </c>
      <c r="D76" s="22">
        <f t="shared" si="7"/>
        <v>-9.8485607700084188E-2</v>
      </c>
      <c r="E76" s="11">
        <v>67.902214180000001</v>
      </c>
      <c r="F76" s="28">
        <f t="shared" si="10"/>
        <v>-2.0541847477000772</v>
      </c>
      <c r="G76" s="22">
        <f t="shared" si="8"/>
        <v>9.6994149240548812E-3</v>
      </c>
      <c r="H76" s="11">
        <f t="shared" si="9"/>
        <v>0.20230763320548623</v>
      </c>
      <c r="L76" s="24">
        <f t="shared" si="11"/>
        <v>4743.5069924225145</v>
      </c>
      <c r="M76" s="22">
        <f t="shared" si="12"/>
        <v>4610.7106905465935</v>
      </c>
      <c r="N76" s="11">
        <f t="shared" si="13"/>
        <v>1.0288016990847408</v>
      </c>
    </row>
    <row r="77" spans="1:14">
      <c r="A77" s="7">
        <v>76</v>
      </c>
      <c r="B77" s="7">
        <v>70.937146670000004</v>
      </c>
      <c r="D77" s="22">
        <f t="shared" si="7"/>
        <v>0.98074774229992556</v>
      </c>
      <c r="E77" s="11">
        <v>69.857913319999994</v>
      </c>
      <c r="F77" s="28">
        <f t="shared" si="10"/>
        <v>-9.8485607700084188E-2</v>
      </c>
      <c r="G77" s="22">
        <f t="shared" si="8"/>
        <v>0.9618661340264012</v>
      </c>
      <c r="H77" s="11">
        <f t="shared" si="9"/>
        <v>-9.6589537400893738E-2</v>
      </c>
      <c r="L77" s="24">
        <f t="shared" si="11"/>
        <v>4955.5210432409867</v>
      </c>
      <c r="M77" s="22">
        <f t="shared" si="12"/>
        <v>4880.1280534246325</v>
      </c>
      <c r="N77" s="11">
        <f t="shared" si="13"/>
        <v>1.0154489777708695</v>
      </c>
    </row>
    <row r="78" spans="1:14">
      <c r="A78" s="7">
        <v>77</v>
      </c>
      <c r="B78" s="7">
        <v>69.665932440000006</v>
      </c>
      <c r="D78" s="22">
        <f t="shared" si="7"/>
        <v>-0.29046648770007266</v>
      </c>
      <c r="E78" s="11">
        <v>70.937146670000004</v>
      </c>
      <c r="F78" s="28">
        <f t="shared" si="10"/>
        <v>0.98074774229992556</v>
      </c>
      <c r="G78" s="22">
        <f t="shared" si="8"/>
        <v>8.4370780476816468E-2</v>
      </c>
      <c r="H78" s="11">
        <f t="shared" si="9"/>
        <v>-0.28487435202563538</v>
      </c>
      <c r="L78" s="24">
        <f t="shared" si="11"/>
        <v>4941.9024673985914</v>
      </c>
      <c r="M78" s="22">
        <f t="shared" si="12"/>
        <v>5032.078777681093</v>
      </c>
      <c r="N78" s="11">
        <f t="shared" si="13"/>
        <v>0.98207971014236439</v>
      </c>
    </row>
    <row r="79" spans="1:14">
      <c r="A79" s="7">
        <v>78</v>
      </c>
      <c r="B79" s="7">
        <v>70.535436450000006</v>
      </c>
      <c r="D79" s="22">
        <f t="shared" si="7"/>
        <v>0.57903752229992733</v>
      </c>
      <c r="E79" s="11">
        <v>69.665932440000006</v>
      </c>
      <c r="F79" s="28">
        <f t="shared" si="10"/>
        <v>-0.29046648770007266</v>
      </c>
      <c r="G79" s="22">
        <f t="shared" si="8"/>
        <v>0.33528445223123882</v>
      </c>
      <c r="H79" s="11">
        <f t="shared" si="9"/>
        <v>-0.16819099534901238</v>
      </c>
      <c r="L79" s="24">
        <f t="shared" si="11"/>
        <v>4913.9169503516141</v>
      </c>
      <c r="M79" s="22">
        <f t="shared" si="12"/>
        <v>4853.3421427346448</v>
      </c>
      <c r="N79" s="11">
        <f t="shared" si="13"/>
        <v>1.0124810503433492</v>
      </c>
    </row>
    <row r="80" spans="1:14">
      <c r="A80" s="7">
        <v>79</v>
      </c>
      <c r="B80" s="7">
        <v>71.844465639999996</v>
      </c>
      <c r="D80" s="22">
        <f t="shared" si="7"/>
        <v>1.8880667122999171</v>
      </c>
      <c r="E80" s="11">
        <v>70.535436450000006</v>
      </c>
      <c r="F80" s="28">
        <f t="shared" si="10"/>
        <v>0.57903752229992733</v>
      </c>
      <c r="G80" s="22">
        <f t="shared" si="8"/>
        <v>3.5647959100950177</v>
      </c>
      <c r="H80" s="11">
        <f t="shared" si="9"/>
        <v>1.0932614710271138</v>
      </c>
      <c r="L80" s="24">
        <f t="shared" si="11"/>
        <v>5067.5807404344287</v>
      </c>
      <c r="M80" s="22">
        <f t="shared" si="12"/>
        <v>4975.2477951919891</v>
      </c>
      <c r="N80" s="11">
        <f t="shared" si="13"/>
        <v>1.0185584616170613</v>
      </c>
    </row>
    <row r="81" spans="1:14">
      <c r="A81" s="7">
        <v>80</v>
      </c>
      <c r="B81" s="7">
        <v>71.342135029999994</v>
      </c>
      <c r="D81" s="22">
        <f t="shared" si="7"/>
        <v>1.3857361022999157</v>
      </c>
      <c r="E81" s="11">
        <v>71.844465639999996</v>
      </c>
      <c r="F81" s="28">
        <f t="shared" si="10"/>
        <v>1.8880667122999171</v>
      </c>
      <c r="G81" s="22">
        <f t="shared" si="8"/>
        <v>1.9202645452173626</v>
      </c>
      <c r="H81" s="11">
        <f t="shared" si="9"/>
        <v>2.6163622067847037</v>
      </c>
      <c r="L81" s="24">
        <f t="shared" si="11"/>
        <v>5125.5375688470749</v>
      </c>
      <c r="M81" s="22">
        <f t="shared" si="12"/>
        <v>5161.6272430971403</v>
      </c>
      <c r="N81" s="11">
        <f t="shared" si="13"/>
        <v>0.99300808203491842</v>
      </c>
    </row>
    <row r="82" spans="1:14">
      <c r="A82" s="7">
        <v>81</v>
      </c>
      <c r="B82" s="7">
        <v>69.66053866</v>
      </c>
      <c r="D82" s="22">
        <f t="shared" si="7"/>
        <v>-0.29586026770007834</v>
      </c>
      <c r="E82" s="11">
        <v>71.342135029999994</v>
      </c>
      <c r="F82" s="28">
        <f t="shared" si="10"/>
        <v>1.3857361022999157</v>
      </c>
      <c r="G82" s="22">
        <f t="shared" si="8"/>
        <v>8.7533298003562021E-2</v>
      </c>
      <c r="H82" s="11">
        <f t="shared" si="9"/>
        <v>-0.40998425418811624</v>
      </c>
      <c r="L82" s="24">
        <f t="shared" si="11"/>
        <v>4969.731555344255</v>
      </c>
      <c r="M82" s="22">
        <f t="shared" si="12"/>
        <v>5089.7002306387521</v>
      </c>
      <c r="N82" s="11">
        <f t="shared" si="13"/>
        <v>0.97642912748135635</v>
      </c>
    </row>
    <row r="83" spans="1:14">
      <c r="A83" s="7">
        <v>82</v>
      </c>
      <c r="B83" s="7">
        <v>70.518101869999995</v>
      </c>
      <c r="D83" s="22">
        <f t="shared" si="7"/>
        <v>0.56170294229991669</v>
      </c>
      <c r="E83" s="11">
        <v>69.66053866</v>
      </c>
      <c r="F83" s="28">
        <f t="shared" si="10"/>
        <v>-0.29586026770007834</v>
      </c>
      <c r="G83" s="22">
        <f t="shared" si="8"/>
        <v>0.31551019538838354</v>
      </c>
      <c r="H83" s="11">
        <f t="shared" si="9"/>
        <v>-0.16618558287677501</v>
      </c>
      <c r="L83" s="24">
        <f t="shared" si="11"/>
        <v>4912.328961544953</v>
      </c>
      <c r="M83" s="22">
        <f t="shared" si="12"/>
        <v>4852.5906464013542</v>
      </c>
      <c r="N83" s="11">
        <f t="shared" si="13"/>
        <v>1.0123106026237554</v>
      </c>
    </row>
    <row r="84" spans="1:14">
      <c r="A84" s="7">
        <v>83</v>
      </c>
      <c r="B84" s="7">
        <v>71.168095219999998</v>
      </c>
      <c r="D84" s="22">
        <f t="shared" si="7"/>
        <v>1.2116962922999193</v>
      </c>
      <c r="E84" s="11">
        <v>70.518101869999995</v>
      </c>
      <c r="F84" s="28">
        <f t="shared" si="10"/>
        <v>0.56170294229991669</v>
      </c>
      <c r="G84" s="22">
        <f t="shared" si="8"/>
        <v>1.4682079047733714</v>
      </c>
      <c r="H84" s="11">
        <f t="shared" si="9"/>
        <v>0.68061337255876453</v>
      </c>
      <c r="L84" s="24">
        <f t="shared" si="11"/>
        <v>5018.6389886178195</v>
      </c>
      <c r="M84" s="22">
        <f t="shared" si="12"/>
        <v>4972.802691347697</v>
      </c>
      <c r="N84" s="11">
        <f t="shared" si="13"/>
        <v>1.0092173971329839</v>
      </c>
    </row>
    <row r="85" spans="1:14">
      <c r="A85" s="7">
        <v>84</v>
      </c>
      <c r="B85" s="7">
        <v>71.412833980000002</v>
      </c>
      <c r="D85" s="22">
        <f t="shared" si="7"/>
        <v>1.4564350522999234</v>
      </c>
      <c r="E85" s="11">
        <v>71.168095219999998</v>
      </c>
      <c r="F85" s="28">
        <f t="shared" si="10"/>
        <v>1.2116962922999193</v>
      </c>
      <c r="G85" s="22">
        <f t="shared" si="8"/>
        <v>2.1212030615678805</v>
      </c>
      <c r="H85" s="11">
        <f t="shared" si="9"/>
        <v>1.7647569528474563</v>
      </c>
      <c r="L85" s="24">
        <f t="shared" si="11"/>
        <v>5082.3153686186915</v>
      </c>
      <c r="M85" s="22">
        <f t="shared" si="12"/>
        <v>5064.8977772429862</v>
      </c>
      <c r="N85" s="11">
        <f t="shared" si="13"/>
        <v>1.0034388831012473</v>
      </c>
    </row>
    <row r="86" spans="1:14">
      <c r="A86" s="7">
        <v>85</v>
      </c>
      <c r="B86" s="7">
        <v>69.840808150000001</v>
      </c>
      <c r="D86" s="22">
        <f t="shared" si="7"/>
        <v>-0.11559077770007775</v>
      </c>
      <c r="E86" s="11">
        <v>71.412833980000002</v>
      </c>
      <c r="F86" s="28">
        <f t="shared" si="10"/>
        <v>1.4564350522999234</v>
      </c>
      <c r="G86" s="22">
        <f t="shared" si="8"/>
        <v>1.3361227889308791E-2</v>
      </c>
      <c r="H86" s="11">
        <f t="shared" si="9"/>
        <v>-0.16835046036500156</v>
      </c>
      <c r="L86" s="24">
        <f t="shared" si="11"/>
        <v>4987.5300374449807</v>
      </c>
      <c r="M86" s="22">
        <f t="shared" si="12"/>
        <v>5099.792857055043</v>
      </c>
      <c r="N86" s="11">
        <f t="shared" si="13"/>
        <v>0.97798678833498931</v>
      </c>
    </row>
    <row r="87" spans="1:14">
      <c r="A87" s="7">
        <v>86</v>
      </c>
      <c r="B87" s="7">
        <v>66.646080190000006</v>
      </c>
      <c r="D87" s="22">
        <f t="shared" si="7"/>
        <v>-3.3103187377000722</v>
      </c>
      <c r="E87" s="11">
        <v>69.840808150000001</v>
      </c>
      <c r="F87" s="28">
        <f t="shared" si="10"/>
        <v>-0.11559077770007775</v>
      </c>
      <c r="G87" s="22">
        <f t="shared" si="8"/>
        <v>10.9582101451682</v>
      </c>
      <c r="H87" s="11">
        <f t="shared" si="9"/>
        <v>0.38264231732589105</v>
      </c>
      <c r="L87" s="24">
        <f t="shared" si="11"/>
        <v>4654.6161004993064</v>
      </c>
      <c r="M87" s="22">
        <f t="shared" si="12"/>
        <v>4877.7384830451065</v>
      </c>
      <c r="N87" s="11">
        <f t="shared" si="13"/>
        <v>0.95425700182136297</v>
      </c>
    </row>
    <row r="88" spans="1:14">
      <c r="A88" s="7">
        <v>87</v>
      </c>
      <c r="B88" s="7">
        <v>70.152196689999997</v>
      </c>
      <c r="D88" s="22">
        <f t="shared" si="7"/>
        <v>0.19579776229991808</v>
      </c>
      <c r="E88" s="11">
        <v>66.646080190000006</v>
      </c>
      <c r="F88" s="28">
        <f t="shared" si="10"/>
        <v>-3.3103187377000722</v>
      </c>
      <c r="G88" s="22">
        <f t="shared" si="8"/>
        <v>3.8336763721655218E-2</v>
      </c>
      <c r="H88" s="11">
        <f t="shared" si="9"/>
        <v>-0.6481530013411636</v>
      </c>
      <c r="L88" s="24">
        <f t="shared" si="11"/>
        <v>4675.3689261063928</v>
      </c>
      <c r="M88" s="22">
        <f t="shared" si="12"/>
        <v>4441.7000046919111</v>
      </c>
      <c r="N88" s="11">
        <f t="shared" si="13"/>
        <v>1.0526079926982124</v>
      </c>
    </row>
    <row r="89" spans="1:14">
      <c r="A89" s="7">
        <v>88</v>
      </c>
      <c r="B89" s="7">
        <v>69.486615549999996</v>
      </c>
      <c r="D89" s="22">
        <f t="shared" si="7"/>
        <v>-0.46978337770008238</v>
      </c>
      <c r="E89" s="11">
        <v>70.152196689999997</v>
      </c>
      <c r="F89" s="28">
        <f t="shared" si="10"/>
        <v>0.19579776229991808</v>
      </c>
      <c r="G89" s="22">
        <f t="shared" si="8"/>
        <v>0.22069642196329825</v>
      </c>
      <c r="H89" s="11">
        <f t="shared" si="9"/>
        <v>-9.1982534119373363E-2</v>
      </c>
      <c r="L89" s="24">
        <f t="shared" si="11"/>
        <v>4874.6387213860116</v>
      </c>
      <c r="M89" s="22">
        <f t="shared" si="12"/>
        <v>4921.3307004324461</v>
      </c>
      <c r="N89" s="11">
        <f t="shared" si="13"/>
        <v>0.9905123264643988</v>
      </c>
    </row>
    <row r="90" spans="1:14">
      <c r="A90" s="7">
        <v>89</v>
      </c>
      <c r="B90" s="7">
        <v>69.610542249999995</v>
      </c>
      <c r="D90" s="22">
        <f t="shared" si="7"/>
        <v>-0.34585667770008399</v>
      </c>
      <c r="E90" s="11">
        <v>69.486615549999996</v>
      </c>
      <c r="F90" s="28">
        <f t="shared" si="10"/>
        <v>-0.46978337770008238</v>
      </c>
      <c r="G90" s="22">
        <f t="shared" si="8"/>
        <v>0.11961684150973978</v>
      </c>
      <c r="H90" s="11">
        <f t="shared" si="9"/>
        <v>0.1624777182500742</v>
      </c>
      <c r="L90" s="24">
        <f t="shared" si="11"/>
        <v>4837.0009875527812</v>
      </c>
      <c r="M90" s="22">
        <f t="shared" si="12"/>
        <v>4828.3897405935013</v>
      </c>
      <c r="N90" s="11">
        <f t="shared" si="13"/>
        <v>1.0017834614482097</v>
      </c>
    </row>
    <row r="91" spans="1:14">
      <c r="A91" s="7">
        <v>90</v>
      </c>
      <c r="B91" s="7">
        <v>72.301086040000001</v>
      </c>
      <c r="D91" s="22">
        <f t="shared" si="7"/>
        <v>2.3446871122999227</v>
      </c>
      <c r="E91" s="11">
        <v>69.610542249999995</v>
      </c>
      <c r="F91" s="28">
        <f t="shared" si="10"/>
        <v>-0.34585667770008399</v>
      </c>
      <c r="G91" s="22">
        <f t="shared" si="8"/>
        <v>5.49755765458535</v>
      </c>
      <c r="H91" s="11">
        <f t="shared" si="9"/>
        <v>-0.81092569490625499</v>
      </c>
      <c r="L91" s="24">
        <f t="shared" si="11"/>
        <v>5032.9178045083045</v>
      </c>
      <c r="M91" s="22">
        <f t="shared" si="12"/>
        <v>4845.627592339034</v>
      </c>
      <c r="N91" s="11">
        <f t="shared" si="13"/>
        <v>1.0386513838713849</v>
      </c>
    </row>
    <row r="92" spans="1:14">
      <c r="A92" s="7">
        <v>91</v>
      </c>
      <c r="B92" s="7">
        <v>71.828065699999996</v>
      </c>
      <c r="D92" s="22">
        <f t="shared" si="7"/>
        <v>1.8716667722999176</v>
      </c>
      <c r="E92" s="11">
        <v>72.301086040000001</v>
      </c>
      <c r="F92" s="28">
        <f t="shared" si="10"/>
        <v>2.3446871122999227</v>
      </c>
      <c r="G92" s="22">
        <f t="shared" si="8"/>
        <v>3.5031365065315918</v>
      </c>
      <c r="H92" s="11">
        <f t="shared" si="9"/>
        <v>4.3884729595316108</v>
      </c>
      <c r="L92" s="24">
        <f t="shared" si="11"/>
        <v>5193.247158262473</v>
      </c>
      <c r="M92" s="22">
        <f t="shared" si="12"/>
        <v>5227.4470425634827</v>
      </c>
      <c r="N92" s="11">
        <f t="shared" si="13"/>
        <v>0.99345763160821265</v>
      </c>
    </row>
    <row r="93" spans="1:14">
      <c r="A93" s="7">
        <v>92</v>
      </c>
      <c r="B93" s="7">
        <v>71.355760079999996</v>
      </c>
      <c r="D93" s="22">
        <f t="shared" si="7"/>
        <v>1.3993611522999174</v>
      </c>
      <c r="E93" s="11">
        <v>71.828065699999996</v>
      </c>
      <c r="F93" s="28">
        <f t="shared" si="10"/>
        <v>1.8716667722999176</v>
      </c>
      <c r="G93" s="22">
        <f t="shared" si="8"/>
        <v>1.9582116345661527</v>
      </c>
      <c r="H93" s="11">
        <f t="shared" si="9"/>
        <v>2.6191377712070798</v>
      </c>
      <c r="L93" s="24">
        <f t="shared" si="11"/>
        <v>5125.3462230996765</v>
      </c>
      <c r="M93" s="22">
        <f t="shared" si="12"/>
        <v>5159.2710222035157</v>
      </c>
      <c r="N93" s="11">
        <f t="shared" si="13"/>
        <v>0.99342449757769269</v>
      </c>
    </row>
    <row r="94" spans="1:14">
      <c r="A94" s="7">
        <v>93</v>
      </c>
      <c r="B94" s="7">
        <v>68.762639770000007</v>
      </c>
      <c r="D94" s="22">
        <f t="shared" si="7"/>
        <v>-1.1937591577000717</v>
      </c>
      <c r="E94" s="11">
        <v>71.355760079999996</v>
      </c>
      <c r="F94" s="28">
        <f t="shared" si="10"/>
        <v>1.3993611522999174</v>
      </c>
      <c r="G94" s="22">
        <f t="shared" si="8"/>
        <v>1.4250609265927847</v>
      </c>
      <c r="H94" s="11">
        <f t="shared" si="9"/>
        <v>-1.6705001904877512</v>
      </c>
      <c r="L94" s="24">
        <f t="shared" si="11"/>
        <v>4906.6104258955866</v>
      </c>
      <c r="M94" s="22">
        <f t="shared" si="12"/>
        <v>5091.6444965945211</v>
      </c>
      <c r="N94" s="11">
        <f t="shared" si="13"/>
        <v>0.96365927141561192</v>
      </c>
    </row>
    <row r="95" spans="1:14">
      <c r="A95" s="7">
        <v>94</v>
      </c>
      <c r="B95" s="7">
        <v>67.073188880000004</v>
      </c>
      <c r="D95" s="22">
        <f t="shared" si="7"/>
        <v>-2.8832100477000751</v>
      </c>
      <c r="E95" s="11">
        <v>68.762639770000007</v>
      </c>
      <c r="F95" s="28">
        <f t="shared" si="10"/>
        <v>-1.1937591577000717</v>
      </c>
      <c r="G95" s="22">
        <f t="shared" si="8"/>
        <v>8.3129001791586692</v>
      </c>
      <c r="H95" s="11">
        <f t="shared" si="9"/>
        <v>3.441858398014825</v>
      </c>
      <c r="L95" s="24">
        <f t="shared" si="11"/>
        <v>4612.1295251806105</v>
      </c>
      <c r="M95" s="22">
        <f t="shared" si="12"/>
        <v>4728.300628138787</v>
      </c>
      <c r="N95" s="11">
        <f t="shared" si="13"/>
        <v>0.97543068597059457</v>
      </c>
    </row>
    <row r="96" spans="1:14">
      <c r="A96" s="7">
        <v>95</v>
      </c>
      <c r="B96" s="7">
        <v>68.082418610000005</v>
      </c>
      <c r="D96" s="22">
        <f t="shared" si="7"/>
        <v>-1.8739803177000738</v>
      </c>
      <c r="E96" s="11">
        <v>67.073188880000004</v>
      </c>
      <c r="F96" s="28">
        <f t="shared" si="10"/>
        <v>-2.8832100477000751</v>
      </c>
      <c r="G96" s="22">
        <f t="shared" si="8"/>
        <v>3.5118022311272696</v>
      </c>
      <c r="H96" s="11">
        <f t="shared" si="9"/>
        <v>5.4030788811850314</v>
      </c>
      <c r="L96" s="24">
        <f t="shared" si="11"/>
        <v>4566.5049228357575</v>
      </c>
      <c r="M96" s="22">
        <f t="shared" si="12"/>
        <v>4498.8126665321561</v>
      </c>
      <c r="N96" s="11">
        <f t="shared" si="13"/>
        <v>1.015046693721475</v>
      </c>
    </row>
    <row r="97" spans="1:14">
      <c r="A97" s="7">
        <v>96</v>
      </c>
      <c r="B97" s="7">
        <v>70.818244230000005</v>
      </c>
      <c r="D97" s="22">
        <f t="shared" si="7"/>
        <v>0.86184530229992617</v>
      </c>
      <c r="E97" s="11">
        <v>68.082418610000005</v>
      </c>
      <c r="F97" s="28">
        <f t="shared" si="10"/>
        <v>-1.8739803177000738</v>
      </c>
      <c r="G97" s="22">
        <f t="shared" si="8"/>
        <v>0.74277732509645111</v>
      </c>
      <c r="H97" s="11">
        <f t="shared" si="9"/>
        <v>-1.6150811334123318</v>
      </c>
      <c r="L97" s="24">
        <f t="shared" si="11"/>
        <v>4821.4773488920782</v>
      </c>
      <c r="M97" s="22">
        <f t="shared" si="12"/>
        <v>4635.2157237872752</v>
      </c>
      <c r="N97" s="11">
        <f t="shared" si="13"/>
        <v>1.0401840251250734</v>
      </c>
    </row>
    <row r="98" spans="1:14">
      <c r="A98" s="7">
        <v>97</v>
      </c>
      <c r="B98" s="7">
        <v>70.719971509999993</v>
      </c>
      <c r="D98" s="22">
        <f t="shared" si="7"/>
        <v>0.76357258229991487</v>
      </c>
      <c r="E98" s="11">
        <v>70.818244230000005</v>
      </c>
      <c r="F98" s="28">
        <f t="shared" si="10"/>
        <v>0.86184530229992617</v>
      </c>
      <c r="G98" s="22">
        <f t="shared" si="8"/>
        <v>0.58304308844016028</v>
      </c>
      <c r="H98" s="11">
        <f t="shared" si="9"/>
        <v>0.65808144302020544</v>
      </c>
      <c r="L98" s="24">
        <f t="shared" si="11"/>
        <v>5008.2642143338217</v>
      </c>
      <c r="M98" s="22">
        <f t="shared" si="12"/>
        <v>5015.2237158199287</v>
      </c>
      <c r="N98" s="11">
        <f t="shared" si="13"/>
        <v>0.998612324817305</v>
      </c>
    </row>
    <row r="99" spans="1:14">
      <c r="A99" s="7">
        <v>98</v>
      </c>
      <c r="B99" s="7">
        <v>69.391873320000002</v>
      </c>
      <c r="D99" s="22">
        <f t="shared" si="7"/>
        <v>-0.56452560770007665</v>
      </c>
      <c r="E99" s="11">
        <v>70.719971509999993</v>
      </c>
      <c r="F99" s="28">
        <f t="shared" si="10"/>
        <v>0.76357258229991487</v>
      </c>
      <c r="G99" s="22">
        <f t="shared" si="8"/>
        <v>0.31868916174914086</v>
      </c>
      <c r="H99" s="11">
        <f t="shared" si="9"/>
        <v>-0.43105627604597624</v>
      </c>
      <c r="L99" s="24">
        <f t="shared" si="11"/>
        <v>4907.3913042159284</v>
      </c>
      <c r="M99" s="22">
        <f t="shared" si="12"/>
        <v>5001.3143703752112</v>
      </c>
      <c r="N99" s="11">
        <f t="shared" si="13"/>
        <v>0.98122032345824395</v>
      </c>
    </row>
    <row r="100" spans="1:14">
      <c r="A100" s="7">
        <v>99</v>
      </c>
      <c r="B100" s="7">
        <v>69.617099830000001</v>
      </c>
      <c r="D100" s="22">
        <f t="shared" si="7"/>
        <v>-0.33929909770007782</v>
      </c>
      <c r="E100" s="11">
        <v>69.391873320000002</v>
      </c>
      <c r="F100" s="28">
        <f t="shared" si="10"/>
        <v>-0.56452560770007665</v>
      </c>
      <c r="G100" s="22">
        <f t="shared" si="8"/>
        <v>0.11512387770008696</v>
      </c>
      <c r="H100" s="11">
        <f t="shared" si="9"/>
        <v>0.19154302932122411</v>
      </c>
      <c r="L100" s="24">
        <f t="shared" si="11"/>
        <v>4830.860972309154</v>
      </c>
      <c r="M100" s="22">
        <f t="shared" si="12"/>
        <v>4815.2320828589282</v>
      </c>
      <c r="N100" s="11">
        <f t="shared" si="13"/>
        <v>1.0032457188316761</v>
      </c>
    </row>
    <row r="101" spans="1:14">
      <c r="A101" s="7">
        <v>100</v>
      </c>
      <c r="B101" s="7">
        <v>71.034633119999995</v>
      </c>
      <c r="D101" s="22">
        <f t="shared" si="7"/>
        <v>1.0782341922999166</v>
      </c>
      <c r="E101" s="11">
        <v>69.617099830000001</v>
      </c>
      <c r="F101" s="28">
        <f t="shared" si="10"/>
        <v>-0.33929909770007782</v>
      </c>
      <c r="G101" s="22">
        <f t="shared" si="8"/>
        <v>1.1625889734446535</v>
      </c>
      <c r="H101" s="11">
        <f t="shared" si="9"/>
        <v>-0.36584388855673389</v>
      </c>
      <c r="L101" s="24">
        <f t="shared" si="11"/>
        <v>4945.2251453024637</v>
      </c>
      <c r="M101" s="22">
        <f t="shared" si="12"/>
        <v>4846.5405887401857</v>
      </c>
      <c r="N101" s="11">
        <f t="shared" si="13"/>
        <v>1.0203618549675513</v>
      </c>
    </row>
    <row r="102" spans="1:14">
      <c r="A102" s="7">
        <v>101</v>
      </c>
      <c r="B102" s="7">
        <v>69.290709719999995</v>
      </c>
      <c r="D102" s="22">
        <f t="shared" si="7"/>
        <v>-0.66568920770008333</v>
      </c>
      <c r="E102" s="11">
        <v>71.034633119999995</v>
      </c>
      <c r="F102" s="28">
        <f t="shared" si="10"/>
        <v>1.0782341922999166</v>
      </c>
      <c r="G102" s="22">
        <f t="shared" si="8"/>
        <v>0.44314212124836466</v>
      </c>
      <c r="H102" s="11">
        <f t="shared" si="9"/>
        <v>-0.71776886518727079</v>
      </c>
      <c r="L102" s="24">
        <f t="shared" si="11"/>
        <v>4922.040143584617</v>
      </c>
      <c r="M102" s="22">
        <f t="shared" si="12"/>
        <v>5045.9191024930005</v>
      </c>
      <c r="N102" s="11">
        <f t="shared" si="13"/>
        <v>0.97544967400543947</v>
      </c>
    </row>
    <row r="103" spans="1:14">
      <c r="A103" s="7">
        <v>102</v>
      </c>
      <c r="B103" s="7">
        <v>68.053492899999995</v>
      </c>
      <c r="D103" s="22">
        <f t="shared" si="7"/>
        <v>-1.9029060277000838</v>
      </c>
      <c r="E103" s="11">
        <v>69.290709719999995</v>
      </c>
      <c r="F103" s="28">
        <f t="shared" si="10"/>
        <v>-0.66568920770008333</v>
      </c>
      <c r="G103" s="22">
        <f t="shared" si="8"/>
        <v>3.6210513502573121</v>
      </c>
      <c r="H103" s="11">
        <f t="shared" si="9"/>
        <v>1.2667440059073816</v>
      </c>
      <c r="L103" s="24">
        <f t="shared" si="11"/>
        <v>4715.4748219659805</v>
      </c>
      <c r="M103" s="22">
        <f t="shared" si="12"/>
        <v>4801.2024535013015</v>
      </c>
      <c r="N103" s="11">
        <f t="shared" si="13"/>
        <v>0.98214454975278043</v>
      </c>
    </row>
    <row r="104" spans="1:14">
      <c r="A104" s="7">
        <v>103</v>
      </c>
      <c r="B104" s="7">
        <v>68.25621357</v>
      </c>
      <c r="D104" s="22">
        <f t="shared" si="7"/>
        <v>-1.7001853577000787</v>
      </c>
      <c r="E104" s="11">
        <v>68.053492899999995</v>
      </c>
      <c r="F104" s="28">
        <f t="shared" si="10"/>
        <v>-1.9029060277000838</v>
      </c>
      <c r="G104" s="22">
        <f t="shared" si="8"/>
        <v>2.8906302505377446</v>
      </c>
      <c r="H104" s="11">
        <f t="shared" si="9"/>
        <v>3.235292965374903</v>
      </c>
      <c r="L104" s="24">
        <f t="shared" si="11"/>
        <v>4645.0737455668786</v>
      </c>
      <c r="M104" s="22">
        <f t="shared" si="12"/>
        <v>4631.27789589035</v>
      </c>
      <c r="N104" s="11">
        <f t="shared" si="13"/>
        <v>1.00297884298603</v>
      </c>
    </row>
    <row r="105" spans="1:14">
      <c r="A105" s="7">
        <v>104</v>
      </c>
      <c r="B105" s="7">
        <v>70.632318650000002</v>
      </c>
      <c r="D105" s="22">
        <f t="shared" si="7"/>
        <v>0.67591972229992336</v>
      </c>
      <c r="E105" s="11">
        <v>68.25621357</v>
      </c>
      <c r="F105" s="28">
        <f t="shared" si="10"/>
        <v>-1.7001853577000787</v>
      </c>
      <c r="G105" s="22">
        <f t="shared" si="8"/>
        <v>0.45686747099400554</v>
      </c>
      <c r="H105" s="11">
        <f t="shared" si="9"/>
        <v>-1.1491888148350331</v>
      </c>
      <c r="L105" s="24">
        <f t="shared" si="11"/>
        <v>4821.0946267186946</v>
      </c>
      <c r="M105" s="22">
        <f t="shared" si="12"/>
        <v>4658.9106909134525</v>
      </c>
      <c r="N105" s="11">
        <f t="shared" si="13"/>
        <v>1.0348115571568175</v>
      </c>
    </row>
    <row r="106" spans="1:14">
      <c r="A106" s="7">
        <v>105</v>
      </c>
      <c r="B106" s="7">
        <v>71.137348639999999</v>
      </c>
      <c r="D106" s="22">
        <f t="shared" si="7"/>
        <v>1.1809497122999204</v>
      </c>
      <c r="E106" s="11">
        <v>70.632318650000002</v>
      </c>
      <c r="F106" s="28">
        <f t="shared" si="10"/>
        <v>0.67591972229992336</v>
      </c>
      <c r="G106" s="22">
        <f t="shared" si="8"/>
        <v>1.3946422229812647</v>
      </c>
      <c r="H106" s="11">
        <f t="shared" si="9"/>
        <v>0.79822720158793659</v>
      </c>
      <c r="L106" s="24">
        <f t="shared" si="11"/>
        <v>5024.595877056624</v>
      </c>
      <c r="M106" s="22">
        <f t="shared" si="12"/>
        <v>4988.9244378751382</v>
      </c>
      <c r="N106" s="11">
        <f t="shared" si="13"/>
        <v>1.0071501261696156</v>
      </c>
    </row>
    <row r="107" spans="1:14">
      <c r="A107" s="7">
        <v>106</v>
      </c>
      <c r="B107" s="7">
        <v>72.624866999999995</v>
      </c>
      <c r="D107" s="22">
        <f t="shared" si="7"/>
        <v>2.6684680722999161</v>
      </c>
      <c r="E107" s="11">
        <v>71.137348639999999</v>
      </c>
      <c r="F107" s="28">
        <f t="shared" si="10"/>
        <v>1.1809497122999204</v>
      </c>
      <c r="G107" s="22">
        <f t="shared" si="8"/>
        <v>7.1207218528840306</v>
      </c>
      <c r="H107" s="11">
        <f t="shared" si="9"/>
        <v>3.1513266022641093</v>
      </c>
      <c r="L107" s="24">
        <f t="shared" si="11"/>
        <v>5166.3404837126309</v>
      </c>
      <c r="M107" s="22">
        <f t="shared" si="12"/>
        <v>5060.5223715289094</v>
      </c>
      <c r="N107" s="11">
        <f t="shared" si="13"/>
        <v>1.0209105116853285</v>
      </c>
    </row>
    <row r="108" spans="1:14">
      <c r="A108" s="7">
        <v>107</v>
      </c>
      <c r="B108" s="7">
        <v>72.170161329999999</v>
      </c>
      <c r="D108" s="22">
        <f t="shared" si="7"/>
        <v>2.2137624022999205</v>
      </c>
      <c r="E108" s="11">
        <v>72.624866999999995</v>
      </c>
      <c r="F108" s="28">
        <f t="shared" si="10"/>
        <v>2.6684680722999161</v>
      </c>
      <c r="G108" s="22">
        <f t="shared" si="8"/>
        <v>4.9007439738367147</v>
      </c>
      <c r="H108" s="11">
        <f t="shared" si="9"/>
        <v>5.9073542901953005</v>
      </c>
      <c r="L108" s="24">
        <f t="shared" si="11"/>
        <v>5241.348367959793</v>
      </c>
      <c r="M108" s="22">
        <f t="shared" si="12"/>
        <v>5274.3713067676881</v>
      </c>
      <c r="N108" s="11">
        <f t="shared" si="13"/>
        <v>0.99373898102973479</v>
      </c>
    </row>
    <row r="109" spans="1:14">
      <c r="A109" s="7">
        <v>108</v>
      </c>
      <c r="B109" s="7">
        <v>70.479541519999998</v>
      </c>
      <c r="D109" s="22">
        <f t="shared" si="7"/>
        <v>0.52314259229991933</v>
      </c>
      <c r="E109" s="11">
        <v>72.170161329999999</v>
      </c>
      <c r="F109" s="28">
        <f t="shared" si="10"/>
        <v>2.2137624022999205</v>
      </c>
      <c r="G109" s="22">
        <f t="shared" si="8"/>
        <v>0.27367817187827964</v>
      </c>
      <c r="H109" s="11">
        <f t="shared" si="9"/>
        <v>1.1581134018752772</v>
      </c>
      <c r="L109" s="24">
        <f t="shared" si="11"/>
        <v>5086.5198819628331</v>
      </c>
      <c r="M109" s="22">
        <f t="shared" si="12"/>
        <v>5208.5321863982272</v>
      </c>
      <c r="N109" s="11">
        <f t="shared" si="13"/>
        <v>0.97657453192781996</v>
      </c>
    </row>
    <row r="110" spans="1:14">
      <c r="A110" s="7">
        <v>109</v>
      </c>
      <c r="B110" s="7">
        <v>70.901754350000004</v>
      </c>
      <c r="D110" s="22">
        <f t="shared" si="7"/>
        <v>0.94535542229992586</v>
      </c>
      <c r="E110" s="11">
        <v>70.479541519999998</v>
      </c>
      <c r="F110" s="28">
        <f t="shared" si="10"/>
        <v>0.52314259229991933</v>
      </c>
      <c r="G110" s="22">
        <f t="shared" si="8"/>
        <v>0.89369687447187118</v>
      </c>
      <c r="H110" s="11">
        <f t="shared" si="9"/>
        <v>0.49455568626676816</v>
      </c>
      <c r="L110" s="24">
        <f t="shared" si="11"/>
        <v>4997.1231395516661</v>
      </c>
      <c r="M110" s="22">
        <f t="shared" si="12"/>
        <v>4967.3657728694034</v>
      </c>
      <c r="N110" s="11">
        <f t="shared" si="13"/>
        <v>1.0059905728796519</v>
      </c>
    </row>
    <row r="111" spans="1:14">
      <c r="A111" s="7">
        <v>110</v>
      </c>
      <c r="B111" s="7">
        <v>70.608687169999996</v>
      </c>
      <c r="D111" s="22">
        <f t="shared" si="7"/>
        <v>0.65228824229991744</v>
      </c>
      <c r="E111" s="11">
        <v>70.901754350000004</v>
      </c>
      <c r="F111" s="28">
        <f t="shared" si="10"/>
        <v>0.94535542229992586</v>
      </c>
      <c r="G111" s="22">
        <f t="shared" si="8"/>
        <v>0.4254799510427158</v>
      </c>
      <c r="H111" s="11">
        <f t="shared" si="9"/>
        <v>0.61664422676071484</v>
      </c>
      <c r="L111" s="24">
        <f t="shared" si="11"/>
        <v>5006.2797927033371</v>
      </c>
      <c r="M111" s="22">
        <f t="shared" si="12"/>
        <v>5027.0587699077441</v>
      </c>
      <c r="N111" s="11">
        <f t="shared" si="13"/>
        <v>0.99586657364564923</v>
      </c>
    </row>
    <row r="112" spans="1:14">
      <c r="A112" s="7">
        <v>111</v>
      </c>
      <c r="B112" s="7">
        <v>69.389764639999996</v>
      </c>
      <c r="D112" s="22">
        <f t="shared" si="7"/>
        <v>-0.56663428770008295</v>
      </c>
      <c r="E112" s="11">
        <v>70.608687169999996</v>
      </c>
      <c r="F112" s="28">
        <f t="shared" si="10"/>
        <v>0.65228824229991744</v>
      </c>
      <c r="G112" s="22">
        <f t="shared" si="8"/>
        <v>0.3210744159973804</v>
      </c>
      <c r="H112" s="11">
        <f t="shared" si="9"/>
        <v>-0.36960888355075283</v>
      </c>
      <c r="L112" s="24">
        <f t="shared" si="11"/>
        <v>4899.520184265687</v>
      </c>
      <c r="M112" s="22">
        <f t="shared" si="12"/>
        <v>4985.5867038709221</v>
      </c>
      <c r="N112" s="11">
        <f t="shared" si="13"/>
        <v>0.98273693253826855</v>
      </c>
    </row>
    <row r="113" spans="1:14">
      <c r="A113" s="7">
        <v>112</v>
      </c>
      <c r="B113" s="7">
        <v>70.131227480000007</v>
      </c>
      <c r="D113" s="22">
        <f t="shared" si="7"/>
        <v>0.17482855229992822</v>
      </c>
      <c r="E113" s="11">
        <v>69.389764639999996</v>
      </c>
      <c r="F113" s="28">
        <f t="shared" si="10"/>
        <v>-0.56663428770008295</v>
      </c>
      <c r="G113" s="22">
        <f t="shared" si="8"/>
        <v>3.0565022699288735E-2</v>
      </c>
      <c r="H113" s="11">
        <f t="shared" si="9"/>
        <v>-9.906385220210652E-2</v>
      </c>
      <c r="L113" s="24">
        <f t="shared" si="11"/>
        <v>4866.3893687515001</v>
      </c>
      <c r="M113" s="22">
        <f t="shared" si="12"/>
        <v>4814.9394367945933</v>
      </c>
      <c r="N113" s="11">
        <f t="shared" si="13"/>
        <v>1.0106854785262176</v>
      </c>
    </row>
    <row r="114" spans="1:14">
      <c r="A114" s="7">
        <v>113</v>
      </c>
      <c r="B114" s="7">
        <v>69.565480440000002</v>
      </c>
      <c r="D114" s="22">
        <f t="shared" si="7"/>
        <v>-0.39091848770007687</v>
      </c>
      <c r="E114" s="11">
        <v>70.131227480000007</v>
      </c>
      <c r="F114" s="28">
        <f t="shared" si="10"/>
        <v>0.17482855229992822</v>
      </c>
      <c r="G114" s="22">
        <f t="shared" si="8"/>
        <v>0.15281726402571516</v>
      </c>
      <c r="H114" s="11">
        <f t="shared" si="9"/>
        <v>-6.834371327188174E-2</v>
      </c>
      <c r="L114" s="24">
        <f t="shared" si="11"/>
        <v>4878.7125334931306</v>
      </c>
      <c r="M114" s="22">
        <f t="shared" si="12"/>
        <v>4918.3890678515081</v>
      </c>
      <c r="N114" s="11">
        <f t="shared" si="13"/>
        <v>0.99193302241627879</v>
      </c>
    </row>
    <row r="115" spans="1:14">
      <c r="A115" s="7">
        <v>114</v>
      </c>
      <c r="B115" s="7">
        <v>69.409522920000001</v>
      </c>
      <c r="D115" s="22">
        <f t="shared" si="7"/>
        <v>-0.54687600770007805</v>
      </c>
      <c r="E115" s="11">
        <v>69.565480440000002</v>
      </c>
      <c r="F115" s="28">
        <f t="shared" si="10"/>
        <v>-0.39091848770007687</v>
      </c>
      <c r="G115" s="22">
        <f t="shared" si="8"/>
        <v>0.29907336779797583</v>
      </c>
      <c r="H115" s="11">
        <f t="shared" si="9"/>
        <v>0.21378394188957009</v>
      </c>
      <c r="L115" s="24">
        <f t="shared" si="11"/>
        <v>4828.5068090409923</v>
      </c>
      <c r="M115" s="22">
        <f t="shared" si="12"/>
        <v>4839.3560688480229</v>
      </c>
      <c r="N115" s="11">
        <f t="shared" si="13"/>
        <v>0.9977581191272803</v>
      </c>
    </row>
    <row r="116" spans="1:14">
      <c r="A116" s="7">
        <v>115</v>
      </c>
      <c r="B116" s="7">
        <v>71.103852320000001</v>
      </c>
      <c r="D116" s="22">
        <f t="shared" si="7"/>
        <v>1.1474533922999228</v>
      </c>
      <c r="E116" s="11">
        <v>69.409522920000001</v>
      </c>
      <c r="F116" s="28">
        <f t="shared" si="10"/>
        <v>-0.54687600770007805</v>
      </c>
      <c r="G116" s="22">
        <f t="shared" si="8"/>
        <v>1.3166492875006006</v>
      </c>
      <c r="H116" s="11">
        <f t="shared" si="9"/>
        <v>-0.62751473020289328</v>
      </c>
      <c r="L116" s="24">
        <f t="shared" si="11"/>
        <v>4935.2844673053351</v>
      </c>
      <c r="M116" s="22">
        <f t="shared" si="12"/>
        <v>4817.6818719820058</v>
      </c>
      <c r="N116" s="11">
        <f t="shared" si="13"/>
        <v>1.0244106187266673</v>
      </c>
    </row>
    <row r="117" spans="1:14">
      <c r="A117" s="7">
        <v>116</v>
      </c>
      <c r="B117" s="7">
        <v>70.738173029999999</v>
      </c>
      <c r="D117" s="22">
        <f t="shared" si="7"/>
        <v>0.78177410229992006</v>
      </c>
      <c r="E117" s="11">
        <v>71.103852320000001</v>
      </c>
      <c r="F117" s="28">
        <f t="shared" si="10"/>
        <v>1.1474533922999228</v>
      </c>
      <c r="G117" s="22">
        <f t="shared" si="8"/>
        <v>0.61117074702684593</v>
      </c>
      <c r="H117" s="11">
        <f t="shared" si="9"/>
        <v>0.89704934569627015</v>
      </c>
      <c r="L117" s="24">
        <f t="shared" si="11"/>
        <v>5029.7566085117269</v>
      </c>
      <c r="M117" s="22">
        <f t="shared" si="12"/>
        <v>5055.7578147443692</v>
      </c>
      <c r="N117" s="11">
        <f t="shared" si="13"/>
        <v>0.99485711001487975</v>
      </c>
    </row>
    <row r="118" spans="1:14">
      <c r="A118" s="7">
        <v>117</v>
      </c>
      <c r="B118" s="7">
        <v>69.308606729999994</v>
      </c>
      <c r="D118" s="22">
        <f t="shared" si="7"/>
        <v>-0.64779219770008467</v>
      </c>
      <c r="E118" s="11">
        <v>70.738173029999999</v>
      </c>
      <c r="F118" s="28">
        <f t="shared" si="10"/>
        <v>0.78177410229992006</v>
      </c>
      <c r="G118" s="22">
        <f t="shared" si="8"/>
        <v>0.41963473140110558</v>
      </c>
      <c r="H118" s="11">
        <f t="shared" si="9"/>
        <v>-0.50642716383387598</v>
      </c>
      <c r="L118" s="24">
        <f t="shared" si="11"/>
        <v>4902.7642153349616</v>
      </c>
      <c r="M118" s="22">
        <f t="shared" si="12"/>
        <v>5003.8891236222189</v>
      </c>
      <c r="N118" s="11">
        <f t="shared" si="13"/>
        <v>0.97979073760650093</v>
      </c>
    </row>
    <row r="119" spans="1:14">
      <c r="A119" s="7">
        <v>118</v>
      </c>
      <c r="B119" s="7">
        <v>68.899374440000003</v>
      </c>
      <c r="D119" s="22">
        <f t="shared" si="7"/>
        <v>-1.0570244877000761</v>
      </c>
      <c r="E119" s="11">
        <v>69.308606729999994</v>
      </c>
      <c r="F119" s="28">
        <f t="shared" si="10"/>
        <v>-0.64779219770008467</v>
      </c>
      <c r="G119" s="22">
        <f t="shared" si="8"/>
        <v>1.1173007675976083</v>
      </c>
      <c r="H119" s="11">
        <f t="shared" si="9"/>
        <v>0.68473221591003841</v>
      </c>
      <c r="L119" s="24">
        <f t="shared" si="11"/>
        <v>4775.3196470049734</v>
      </c>
      <c r="M119" s="22">
        <f t="shared" si="12"/>
        <v>4803.6829668538003</v>
      </c>
      <c r="N119" s="11">
        <f t="shared" si="13"/>
        <v>0.99409550546017744</v>
      </c>
    </row>
    <row r="120" spans="1:14">
      <c r="A120" s="7">
        <v>119</v>
      </c>
      <c r="B120" s="7">
        <v>70.568833229999996</v>
      </c>
      <c r="D120" s="22">
        <f t="shared" si="7"/>
        <v>0.61243430229991702</v>
      </c>
      <c r="E120" s="11">
        <v>68.899374440000003</v>
      </c>
      <c r="F120" s="28">
        <f t="shared" si="10"/>
        <v>-1.0570244877000761</v>
      </c>
      <c r="G120" s="22">
        <f t="shared" si="8"/>
        <v>0.37507577463358616</v>
      </c>
      <c r="H120" s="11">
        <f t="shared" si="9"/>
        <v>-0.64735805463852336</v>
      </c>
      <c r="L120" s="24">
        <f t="shared" si="11"/>
        <v>4862.1484645076844</v>
      </c>
      <c r="M120" s="22">
        <f t="shared" si="12"/>
        <v>4747.123798223326</v>
      </c>
      <c r="N120" s="11">
        <f t="shared" si="13"/>
        <v>1.0242303911112256</v>
      </c>
    </row>
    <row r="121" spans="1:14">
      <c r="A121" s="7">
        <v>120</v>
      </c>
      <c r="B121" s="7">
        <v>70.118946930000007</v>
      </c>
      <c r="D121" s="22">
        <f t="shared" si="7"/>
        <v>0.16254800229992838</v>
      </c>
      <c r="E121" s="11">
        <v>70.568833229999996</v>
      </c>
      <c r="F121" s="28">
        <f t="shared" si="10"/>
        <v>0.61243430229991702</v>
      </c>
      <c r="G121" s="22">
        <f t="shared" si="8"/>
        <v>2.6421853051697523E-2</v>
      </c>
      <c r="H121" s="11">
        <f t="shared" si="9"/>
        <v>9.9549972378801949E-2</v>
      </c>
      <c r="L121" s="24">
        <f t="shared" si="11"/>
        <v>4948.2122721663909</v>
      </c>
      <c r="M121" s="22">
        <f t="shared" si="12"/>
        <v>4979.9602234435515</v>
      </c>
      <c r="N121" s="11">
        <f t="shared" si="13"/>
        <v>0.99362485846218118</v>
      </c>
    </row>
    <row r="122" spans="1:14">
      <c r="A122" s="7">
        <v>121</v>
      </c>
      <c r="B122" s="7">
        <v>69.513847339999998</v>
      </c>
      <c r="D122" s="22">
        <f t="shared" si="7"/>
        <v>-0.44255158770008052</v>
      </c>
      <c r="E122" s="11">
        <v>70.118946930000007</v>
      </c>
      <c r="F122" s="28">
        <f t="shared" si="10"/>
        <v>0.16254800229992838</v>
      </c>
      <c r="G122" s="22">
        <f t="shared" si="8"/>
        <v>0.19585190777586206</v>
      </c>
      <c r="H122" s="11">
        <f t="shared" si="9"/>
        <v>-7.193587649530965E-2</v>
      </c>
      <c r="L122" s="24">
        <f t="shared" si="11"/>
        <v>4874.2377725335818</v>
      </c>
      <c r="M122" s="22">
        <f t="shared" si="12"/>
        <v>4916.6667185721572</v>
      </c>
      <c r="N122" s="11">
        <f t="shared" si="13"/>
        <v>0.99137038394766419</v>
      </c>
    </row>
    <row r="123" spans="1:14">
      <c r="A123" s="7">
        <v>122</v>
      </c>
      <c r="B123" s="7">
        <v>69.162331589999994</v>
      </c>
      <c r="D123" s="22">
        <f t="shared" si="7"/>
        <v>-0.79406733770008486</v>
      </c>
      <c r="E123" s="11">
        <v>69.513847339999998</v>
      </c>
      <c r="F123" s="28">
        <f t="shared" si="10"/>
        <v>-0.44255158770008052</v>
      </c>
      <c r="G123" s="22">
        <f t="shared" si="8"/>
        <v>0.63054293680210061</v>
      </c>
      <c r="H123" s="11">
        <f t="shared" si="9"/>
        <v>0.35141576103994854</v>
      </c>
      <c r="L123" s="24">
        <f t="shared" si="11"/>
        <v>4807.7397598257185</v>
      </c>
      <c r="M123" s="22">
        <f t="shared" si="12"/>
        <v>4832.1749720088246</v>
      </c>
      <c r="N123" s="11">
        <f t="shared" si="13"/>
        <v>0.99494322694756476</v>
      </c>
    </row>
    <row r="124" spans="1:14">
      <c r="A124" s="7">
        <v>123</v>
      </c>
      <c r="B124" s="7">
        <v>69.827170240000001</v>
      </c>
      <c r="D124" s="22">
        <f t="shared" si="7"/>
        <v>-0.12922868770007767</v>
      </c>
      <c r="E124" s="11">
        <v>69.162331589999994</v>
      </c>
      <c r="F124" s="28">
        <f t="shared" si="10"/>
        <v>-0.79406733770008486</v>
      </c>
      <c r="G124" s="22">
        <f t="shared" si="8"/>
        <v>1.6700053724684204E-2</v>
      </c>
      <c r="H124" s="11">
        <f t="shared" si="9"/>
        <v>0.10261627999647638</v>
      </c>
      <c r="L124" s="24">
        <f t="shared" si="11"/>
        <v>4829.4099021302591</v>
      </c>
      <c r="M124" s="22">
        <f t="shared" si="12"/>
        <v>4783.428110965111</v>
      </c>
      <c r="N124" s="11">
        <f t="shared" si="13"/>
        <v>1.0096127275456996</v>
      </c>
    </row>
    <row r="125" spans="1:14">
      <c r="A125" s="7">
        <v>124</v>
      </c>
      <c r="B125" s="7">
        <v>69.762112909999999</v>
      </c>
      <c r="D125" s="22">
        <f t="shared" si="7"/>
        <v>-0.19428601770007958</v>
      </c>
      <c r="E125" s="11">
        <v>69.827170240000001</v>
      </c>
      <c r="F125" s="28">
        <f t="shared" si="10"/>
        <v>-0.12922868770007767</v>
      </c>
      <c r="G125" s="22">
        <f t="shared" si="8"/>
        <v>3.7747056673755636E-2</v>
      </c>
      <c r="H125" s="11">
        <f t="shared" si="9"/>
        <v>2.5107327105855348E-2</v>
      </c>
      <c r="L125" s="24">
        <f t="shared" si="11"/>
        <v>4871.2909344686714</v>
      </c>
      <c r="M125" s="22">
        <f t="shared" si="12"/>
        <v>4875.8337037259416</v>
      </c>
      <c r="N125" s="11">
        <f t="shared" si="13"/>
        <v>0.99906830923011203</v>
      </c>
    </row>
    <row r="126" spans="1:14">
      <c r="A126" s="7">
        <v>125</v>
      </c>
      <c r="B126" s="7">
        <v>68.30728062</v>
      </c>
      <c r="D126" s="22">
        <f t="shared" si="7"/>
        <v>-1.6491183077000784</v>
      </c>
      <c r="E126" s="11">
        <v>69.762112909999999</v>
      </c>
      <c r="F126" s="28">
        <f t="shared" si="10"/>
        <v>-0.19428601770007958</v>
      </c>
      <c r="G126" s="22">
        <f t="shared" si="8"/>
        <v>2.7195911927915706</v>
      </c>
      <c r="H126" s="11">
        <f t="shared" si="9"/>
        <v>0.32040062871934272</v>
      </c>
      <c r="L126" s="24">
        <f t="shared" si="11"/>
        <v>4765.2602231874944</v>
      </c>
      <c r="M126" s="22">
        <f t="shared" si="12"/>
        <v>4866.7523976675884</v>
      </c>
      <c r="N126" s="11">
        <f t="shared" si="13"/>
        <v>0.97914581096652165</v>
      </c>
    </row>
    <row r="127" spans="1:14">
      <c r="A127" s="7">
        <v>126</v>
      </c>
      <c r="B127" s="7">
        <v>68.168553560000007</v>
      </c>
      <c r="D127" s="22">
        <f t="shared" si="7"/>
        <v>-1.7878453677000721</v>
      </c>
      <c r="E127" s="11">
        <v>68.30728062</v>
      </c>
      <c r="F127" s="28">
        <f t="shared" si="10"/>
        <v>-1.6491183077000784</v>
      </c>
      <c r="G127" s="22">
        <f t="shared" si="8"/>
        <v>3.196391058806606</v>
      </c>
      <c r="H127" s="11">
        <f t="shared" si="9"/>
        <v>2.9483685272109672</v>
      </c>
      <c r="L127" s="24">
        <f t="shared" si="11"/>
        <v>4656.4085174824204</v>
      </c>
      <c r="M127" s="22">
        <f t="shared" si="12"/>
        <v>4665.8845856994276</v>
      </c>
      <c r="N127" s="11">
        <f t="shared" si="13"/>
        <v>0.99796907359302234</v>
      </c>
    </row>
    <row r="128" spans="1:14">
      <c r="A128" s="7">
        <v>127</v>
      </c>
      <c r="B128" s="7">
        <v>68.476158909999995</v>
      </c>
      <c r="D128" s="22">
        <f t="shared" si="7"/>
        <v>-1.4802400177000834</v>
      </c>
      <c r="E128" s="11">
        <v>68.168553560000007</v>
      </c>
      <c r="F128" s="28">
        <f t="shared" si="10"/>
        <v>-1.7878453677000721</v>
      </c>
      <c r="G128" s="22">
        <f t="shared" si="8"/>
        <v>2.1911105100007431</v>
      </c>
      <c r="H128" s="11">
        <f t="shared" si="9"/>
        <v>2.6464402587293669</v>
      </c>
      <c r="L128" s="24">
        <f t="shared" si="11"/>
        <v>4667.9207062394062</v>
      </c>
      <c r="M128" s="22">
        <f t="shared" si="12"/>
        <v>4646.9516944625893</v>
      </c>
      <c r="N128" s="11">
        <f t="shared" si="13"/>
        <v>1.0045124230152433</v>
      </c>
    </row>
    <row r="129" spans="1:14">
      <c r="A129" s="7">
        <v>128</v>
      </c>
      <c r="B129" s="7">
        <v>70.878448660000004</v>
      </c>
      <c r="D129" s="22">
        <f t="shared" si="7"/>
        <v>0.92204973229992504</v>
      </c>
      <c r="E129" s="11">
        <v>68.476158909999995</v>
      </c>
      <c r="F129" s="28">
        <f t="shared" si="10"/>
        <v>-1.4802400177000834</v>
      </c>
      <c r="G129" s="22">
        <f t="shared" si="8"/>
        <v>0.85017570883436344</v>
      </c>
      <c r="H129" s="11">
        <f t="shared" si="9"/>
        <v>-1.3648549120599982</v>
      </c>
      <c r="L129" s="24">
        <f t="shared" si="11"/>
        <v>4853.4839137364361</v>
      </c>
      <c r="M129" s="22">
        <f t="shared" si="12"/>
        <v>4688.9843390675715</v>
      </c>
      <c r="N129" s="11">
        <f t="shared" si="13"/>
        <v>1.0350821335226674</v>
      </c>
    </row>
    <row r="130" spans="1:14">
      <c r="A130" s="7">
        <v>129</v>
      </c>
      <c r="B130" s="7">
        <v>71.796895570000004</v>
      </c>
      <c r="D130" s="22">
        <f t="shared" ref="D130:D193" si="14">B130-$C$2</f>
        <v>1.8404966422999252</v>
      </c>
      <c r="E130" s="11">
        <v>70.878448660000004</v>
      </c>
      <c r="F130" s="28">
        <f t="shared" si="10"/>
        <v>0.92204973229992504</v>
      </c>
      <c r="G130" s="22">
        <f t="shared" ref="G130:G193" si="15">(B130-$C$2)^2</f>
        <v>3.3874278903172987</v>
      </c>
      <c r="H130" s="11">
        <f t="shared" ref="H130:H193" si="16">D130*F130</f>
        <v>1.6970294363315568</v>
      </c>
      <c r="L130" s="24">
        <f t="shared" si="11"/>
        <v>5088.8525766056273</v>
      </c>
      <c r="M130" s="22">
        <f t="shared" si="12"/>
        <v>5023.7544844482563</v>
      </c>
      <c r="N130" s="11">
        <f t="shared" si="13"/>
        <v>1.012958056043322</v>
      </c>
    </row>
    <row r="131" spans="1:14">
      <c r="A131" s="7">
        <v>130</v>
      </c>
      <c r="B131" s="7">
        <v>71.401862120000004</v>
      </c>
      <c r="D131" s="22">
        <f t="shared" si="14"/>
        <v>1.4454631922999255</v>
      </c>
      <c r="E131" s="11">
        <v>71.796895570000004</v>
      </c>
      <c r="F131" s="28">
        <f t="shared" ref="F131:F194" si="17">E131-$C$2</f>
        <v>1.8404966422999252</v>
      </c>
      <c r="G131" s="22">
        <f t="shared" si="15"/>
        <v>2.0893638402938914</v>
      </c>
      <c r="H131" s="11">
        <f t="shared" si="16"/>
        <v>2.660370151996144</v>
      </c>
      <c r="L131" s="24">
        <f t="shared" ref="L131:L194" si="18">B131*E131</f>
        <v>5126.432038133179</v>
      </c>
      <c r="M131" s="22">
        <f t="shared" ref="M131:M194" si="19">E131^2</f>
        <v>5154.7942134894865</v>
      </c>
      <c r="N131" s="11">
        <f t="shared" ref="N131:N194" si="20">L131/M131</f>
        <v>0.99449790346972788</v>
      </c>
    </row>
    <row r="132" spans="1:14">
      <c r="A132" s="7">
        <v>131</v>
      </c>
      <c r="B132" s="7">
        <v>69.796690290000001</v>
      </c>
      <c r="D132" s="22">
        <f t="shared" si="14"/>
        <v>-0.15970863770007782</v>
      </c>
      <c r="E132" s="11">
        <v>71.401862120000004</v>
      </c>
      <c r="F132" s="28">
        <f t="shared" si="17"/>
        <v>1.4454631922999255</v>
      </c>
      <c r="G132" s="22">
        <f t="shared" si="15"/>
        <v>2.5506848956014717E-2</v>
      </c>
      <c r="H132" s="11">
        <f t="shared" si="16"/>
        <v>-0.2308529572878267</v>
      </c>
      <c r="L132" s="24">
        <f t="shared" si="18"/>
        <v>4983.6136565189236</v>
      </c>
      <c r="M132" s="22">
        <f t="shared" si="19"/>
        <v>5098.2259142034918</v>
      </c>
      <c r="N132" s="11">
        <f t="shared" si="20"/>
        <v>0.9775191881228209</v>
      </c>
    </row>
    <row r="133" spans="1:14">
      <c r="A133" s="7">
        <v>132</v>
      </c>
      <c r="B133" s="7">
        <v>68.641663989999998</v>
      </c>
      <c r="D133" s="22">
        <f t="shared" si="14"/>
        <v>-1.3147349377000808</v>
      </c>
      <c r="E133" s="11">
        <v>69.796690290000001</v>
      </c>
      <c r="F133" s="28">
        <f t="shared" si="17"/>
        <v>-0.15970863770007782</v>
      </c>
      <c r="G133" s="22">
        <f t="shared" si="15"/>
        <v>1.7285279564092353</v>
      </c>
      <c r="H133" s="11">
        <f t="shared" si="16"/>
        <v>0.20997452583677659</v>
      </c>
      <c r="L133" s="24">
        <f t="shared" si="18"/>
        <v>4790.9609625002759</v>
      </c>
      <c r="M133" s="22">
        <f t="shared" si="19"/>
        <v>4871.5779754381801</v>
      </c>
      <c r="N133" s="11">
        <f t="shared" si="20"/>
        <v>0.98345156059404892</v>
      </c>
    </row>
    <row r="134" spans="1:14">
      <c r="A134" s="7">
        <v>133</v>
      </c>
      <c r="B134" s="7">
        <v>68.738473709999994</v>
      </c>
      <c r="D134" s="22">
        <f t="shared" si="14"/>
        <v>-1.2179252177000848</v>
      </c>
      <c r="E134" s="11">
        <v>68.641663989999998</v>
      </c>
      <c r="F134" s="28">
        <f t="shared" si="17"/>
        <v>-1.3147349377000808</v>
      </c>
      <c r="G134" s="22">
        <f t="shared" si="15"/>
        <v>1.483341835909799</v>
      </c>
      <c r="H134" s="11">
        <f t="shared" si="16"/>
        <v>1.6012488352162781</v>
      </c>
      <c r="L134" s="24">
        <f t="shared" si="18"/>
        <v>4718.3232155872684</v>
      </c>
      <c r="M134" s="22">
        <f t="shared" si="19"/>
        <v>4711.6780353160621</v>
      </c>
      <c r="N134" s="11">
        <f t="shared" si="20"/>
        <v>1.0014103638282152</v>
      </c>
    </row>
    <row r="135" spans="1:14">
      <c r="A135" s="7">
        <v>134</v>
      </c>
      <c r="B135" s="7">
        <v>68.598704920000003</v>
      </c>
      <c r="D135" s="22">
        <f t="shared" si="14"/>
        <v>-1.3576940077000756</v>
      </c>
      <c r="E135" s="11">
        <v>68.738473709999994</v>
      </c>
      <c r="F135" s="28">
        <f t="shared" si="17"/>
        <v>-1.2179252177000848</v>
      </c>
      <c r="G135" s="22">
        <f t="shared" si="15"/>
        <v>1.843333018544693</v>
      </c>
      <c r="H135" s="11">
        <f t="shared" si="16"/>
        <v>1.6535697698982152</v>
      </c>
      <c r="L135" s="24">
        <f t="shared" si="18"/>
        <v>4715.3702746834679</v>
      </c>
      <c r="M135" s="22">
        <f t="shared" si="19"/>
        <v>4724.9777679803601</v>
      </c>
      <c r="N135" s="11">
        <f t="shared" si="20"/>
        <v>0.9979666585180571</v>
      </c>
    </row>
    <row r="136" spans="1:14">
      <c r="A136" s="7">
        <v>135</v>
      </c>
      <c r="B136" s="7">
        <v>72.034881229999996</v>
      </c>
      <c r="D136" s="22">
        <f t="shared" si="14"/>
        <v>2.0784823022999177</v>
      </c>
      <c r="E136" s="11">
        <v>68.598704920000003</v>
      </c>
      <c r="F136" s="28">
        <f t="shared" si="17"/>
        <v>-1.3576940077000756</v>
      </c>
      <c r="G136" s="22">
        <f t="shared" si="15"/>
        <v>4.3200886809739663</v>
      </c>
      <c r="H136" s="11">
        <f t="shared" si="16"/>
        <v>-2.8219429669432556</v>
      </c>
      <c r="L136" s="24">
        <f t="shared" si="18"/>
        <v>4941.4995614440168</v>
      </c>
      <c r="M136" s="22">
        <f t="shared" si="19"/>
        <v>4705.782316701233</v>
      </c>
      <c r="N136" s="11">
        <f t="shared" si="20"/>
        <v>1.0500909793269022</v>
      </c>
    </row>
    <row r="137" spans="1:14">
      <c r="A137" s="7">
        <v>136</v>
      </c>
      <c r="B137" s="7">
        <v>69.39599561</v>
      </c>
      <c r="D137" s="22">
        <f t="shared" si="14"/>
        <v>-0.56040331770007867</v>
      </c>
      <c r="E137" s="11">
        <v>72.034881229999996</v>
      </c>
      <c r="F137" s="28">
        <f t="shared" si="17"/>
        <v>2.0784823022999177</v>
      </c>
      <c r="G137" s="22">
        <f t="shared" si="15"/>
        <v>0.31405187848925531</v>
      </c>
      <c r="H137" s="11">
        <f t="shared" si="16"/>
        <v>-1.1647883779897716</v>
      </c>
      <c r="L137" s="24">
        <f t="shared" si="18"/>
        <v>4998.9323016039507</v>
      </c>
      <c r="M137" s="22">
        <f t="shared" si="19"/>
        <v>5189.0241138202055</v>
      </c>
      <c r="N137" s="11">
        <f t="shared" si="20"/>
        <v>0.96336655832645424</v>
      </c>
    </row>
    <row r="138" spans="1:14">
      <c r="A138" s="7">
        <v>137</v>
      </c>
      <c r="B138" s="7">
        <v>69.591141530000002</v>
      </c>
      <c r="D138" s="22">
        <f t="shared" si="14"/>
        <v>-0.36525739770007704</v>
      </c>
      <c r="E138" s="11">
        <v>69.39599561</v>
      </c>
      <c r="F138" s="28">
        <f t="shared" si="17"/>
        <v>-0.56040331770007867</v>
      </c>
      <c r="G138" s="22">
        <f t="shared" si="15"/>
        <v>0.13341296657463225</v>
      </c>
      <c r="H138" s="11">
        <f t="shared" si="16"/>
        <v>0.20469145748562026</v>
      </c>
      <c r="L138" s="24">
        <f t="shared" si="18"/>
        <v>4829.3465521107692</v>
      </c>
      <c r="M138" s="22">
        <f t="shared" si="19"/>
        <v>4815.8042067031392</v>
      </c>
      <c r="N138" s="11">
        <f t="shared" si="20"/>
        <v>1.0028120631210007</v>
      </c>
    </row>
    <row r="139" spans="1:14">
      <c r="A139" s="7">
        <v>138</v>
      </c>
      <c r="B139" s="7">
        <v>68.651333940000001</v>
      </c>
      <c r="D139" s="22">
        <f t="shared" si="14"/>
        <v>-1.3050649877000779</v>
      </c>
      <c r="E139" s="11">
        <v>69.591141530000002</v>
      </c>
      <c r="F139" s="28">
        <f t="shared" si="17"/>
        <v>-0.36525739770007704</v>
      </c>
      <c r="G139" s="22">
        <f t="shared" si="15"/>
        <v>1.7031946221206047</v>
      </c>
      <c r="H139" s="11">
        <f t="shared" si="16"/>
        <v>0.47668464123681353</v>
      </c>
      <c r="L139" s="24">
        <f t="shared" si="18"/>
        <v>4777.5246964418329</v>
      </c>
      <c r="M139" s="22">
        <f t="shared" si="19"/>
        <v>4842.9269794484908</v>
      </c>
      <c r="N139" s="11">
        <f t="shared" si="20"/>
        <v>0.98649529854895601</v>
      </c>
    </row>
    <row r="140" spans="1:14">
      <c r="A140" s="7">
        <v>139</v>
      </c>
      <c r="B140" s="7">
        <v>69.209114409999998</v>
      </c>
      <c r="D140" s="22">
        <f t="shared" si="14"/>
        <v>-0.74728451770008064</v>
      </c>
      <c r="E140" s="11">
        <v>68.651333940000001</v>
      </c>
      <c r="F140" s="28">
        <f t="shared" si="17"/>
        <v>-1.3050649877000779</v>
      </c>
      <c r="G140" s="22">
        <f t="shared" si="15"/>
        <v>0.55843415039424216</v>
      </c>
      <c r="H140" s="11">
        <f t="shared" si="16"/>
        <v>0.97525485990071448</v>
      </c>
      <c r="L140" s="24">
        <f t="shared" si="18"/>
        <v>4751.2980250525761</v>
      </c>
      <c r="M140" s="22">
        <f t="shared" si="19"/>
        <v>4713.0056517413959</v>
      </c>
      <c r="N140" s="11">
        <f t="shared" si="20"/>
        <v>1.0081248307642134</v>
      </c>
    </row>
    <row r="141" spans="1:14">
      <c r="A141" s="7">
        <v>140</v>
      </c>
      <c r="B141" s="7">
        <v>68.942066519999997</v>
      </c>
      <c r="D141" s="22">
        <f t="shared" si="14"/>
        <v>-1.0143324077000813</v>
      </c>
      <c r="E141" s="11">
        <v>69.209114409999998</v>
      </c>
      <c r="F141" s="28">
        <f t="shared" si="17"/>
        <v>-0.74728451770008064</v>
      </c>
      <c r="G141" s="22">
        <f t="shared" si="15"/>
        <v>1.0288702333106439</v>
      </c>
      <c r="H141" s="11">
        <f t="shared" si="16"/>
        <v>0.75799490407571679</v>
      </c>
      <c r="L141" s="24">
        <f t="shared" si="18"/>
        <v>4771.4193694445103</v>
      </c>
      <c r="M141" s="22">
        <f t="shared" si="19"/>
        <v>4789.9015174164697</v>
      </c>
      <c r="N141" s="11">
        <f t="shared" si="20"/>
        <v>0.99614143466107663</v>
      </c>
    </row>
    <row r="142" spans="1:14">
      <c r="A142" s="7">
        <v>141</v>
      </c>
      <c r="B142" s="7">
        <v>68.42487663</v>
      </c>
      <c r="D142" s="22">
        <f t="shared" si="14"/>
        <v>-1.5315222977000786</v>
      </c>
      <c r="E142" s="11">
        <v>68.942066519999997</v>
      </c>
      <c r="F142" s="28">
        <f t="shared" si="17"/>
        <v>-1.0143324077000813</v>
      </c>
      <c r="G142" s="22">
        <f t="shared" si="15"/>
        <v>2.3455605483525281</v>
      </c>
      <c r="H142" s="11">
        <f t="shared" si="16"/>
        <v>1.5534726996724815</v>
      </c>
      <c r="L142" s="24">
        <f t="shared" si="18"/>
        <v>4717.3523962482532</v>
      </c>
      <c r="M142" s="22">
        <f t="shared" si="19"/>
        <v>4753.0085360481044</v>
      </c>
      <c r="N142" s="11">
        <f t="shared" si="20"/>
        <v>0.99249819571552933</v>
      </c>
    </row>
    <row r="143" spans="1:14">
      <c r="A143" s="7">
        <v>142</v>
      </c>
      <c r="B143" s="7">
        <v>68.232109719999997</v>
      </c>
      <c r="D143" s="22">
        <f t="shared" si="14"/>
        <v>-1.7242892077000818</v>
      </c>
      <c r="E143" s="11">
        <v>68.42487663</v>
      </c>
      <c r="F143" s="28">
        <f t="shared" si="17"/>
        <v>-1.5315222977000786</v>
      </c>
      <c r="G143" s="22">
        <f t="shared" si="15"/>
        <v>2.9731732717909756</v>
      </c>
      <c r="H143" s="11">
        <f t="shared" si="16"/>
        <v>2.6407873692762776</v>
      </c>
      <c r="L143" s="24">
        <f t="shared" si="18"/>
        <v>4668.7736897956238</v>
      </c>
      <c r="M143" s="22">
        <f t="shared" si="19"/>
        <v>4681.9637418307202</v>
      </c>
      <c r="N143" s="11">
        <f t="shared" si="20"/>
        <v>0.99718279492059059</v>
      </c>
    </row>
    <row r="144" spans="1:14">
      <c r="A144" s="7">
        <v>143</v>
      </c>
      <c r="B144" s="7">
        <v>71.166788999999994</v>
      </c>
      <c r="D144" s="22">
        <f t="shared" si="14"/>
        <v>1.2103900722999157</v>
      </c>
      <c r="E144" s="11">
        <v>68.232109719999997</v>
      </c>
      <c r="F144" s="28">
        <f t="shared" si="17"/>
        <v>-1.7242892077000818</v>
      </c>
      <c r="G144" s="22">
        <f t="shared" si="15"/>
        <v>1.4650441271221952</v>
      </c>
      <c r="H144" s="11">
        <f t="shared" si="16"/>
        <v>-2.0870625387740662</v>
      </c>
      <c r="L144" s="24">
        <f t="shared" si="18"/>
        <v>4855.8601554680881</v>
      </c>
      <c r="M144" s="22">
        <f t="shared" si="19"/>
        <v>4655.6207968421177</v>
      </c>
      <c r="N144" s="11">
        <f t="shared" si="20"/>
        <v>1.0430102380249251</v>
      </c>
    </row>
    <row r="145" spans="1:14">
      <c r="A145" s="7">
        <v>144</v>
      </c>
      <c r="B145" s="7">
        <v>71.097452059999995</v>
      </c>
      <c r="D145" s="22">
        <f t="shared" si="14"/>
        <v>1.1410531322999162</v>
      </c>
      <c r="E145" s="11">
        <v>71.166788999999994</v>
      </c>
      <c r="F145" s="28">
        <f t="shared" si="17"/>
        <v>1.2103900722999157</v>
      </c>
      <c r="G145" s="22">
        <f t="shared" si="15"/>
        <v>1.3020022507314502</v>
      </c>
      <c r="H145" s="11">
        <f t="shared" si="16"/>
        <v>1.3811193833025408</v>
      </c>
      <c r="L145" s="24">
        <f t="shared" si="18"/>
        <v>5059.7773691916345</v>
      </c>
      <c r="M145" s="22">
        <f t="shared" si="19"/>
        <v>5064.7118565705205</v>
      </c>
      <c r="N145" s="11">
        <f t="shared" si="20"/>
        <v>0.99902571211973601</v>
      </c>
    </row>
    <row r="146" spans="1:14">
      <c r="A146" s="7">
        <v>145</v>
      </c>
      <c r="B146" s="7">
        <v>69.542732340000001</v>
      </c>
      <c r="D146" s="22">
        <f t="shared" si="14"/>
        <v>-0.41366658770007803</v>
      </c>
      <c r="E146" s="11">
        <v>71.097452059999995</v>
      </c>
      <c r="F146" s="28">
        <f t="shared" si="17"/>
        <v>1.1410531322999162</v>
      </c>
      <c r="G146" s="22">
        <f t="shared" si="15"/>
        <v>0.17112004577942636</v>
      </c>
      <c r="H146" s="11">
        <f t="shared" si="16"/>
        <v>-0.47201555562299202</v>
      </c>
      <c r="L146" s="24">
        <f t="shared" si="18"/>
        <v>4944.3110786645611</v>
      </c>
      <c r="M146" s="22">
        <f t="shared" si="19"/>
        <v>5054.8476894239975</v>
      </c>
      <c r="N146" s="11">
        <f t="shared" si="20"/>
        <v>0.97813255362951756</v>
      </c>
    </row>
    <row r="147" spans="1:14">
      <c r="A147" s="7">
        <v>146</v>
      </c>
      <c r="B147" s="7">
        <v>69.95219075</v>
      </c>
      <c r="D147" s="22">
        <f t="shared" si="14"/>
        <v>-4.2081777000788634E-3</v>
      </c>
      <c r="E147" s="11">
        <v>69.542732340000001</v>
      </c>
      <c r="F147" s="28">
        <f t="shared" si="17"/>
        <v>-0.41366658770007803</v>
      </c>
      <c r="G147" s="22">
        <f t="shared" si="15"/>
        <v>1.7708759555441032E-5</v>
      </c>
      <c r="H147" s="11">
        <f t="shared" si="16"/>
        <v>1.7407825096271857E-3</v>
      </c>
      <c r="L147" s="24">
        <f t="shared" si="18"/>
        <v>4864.6664779238736</v>
      </c>
      <c r="M147" s="22">
        <f t="shared" si="19"/>
        <v>4836.1916213128816</v>
      </c>
      <c r="N147" s="11">
        <f t="shared" si="20"/>
        <v>1.0058878677357417</v>
      </c>
    </row>
    <row r="148" spans="1:14">
      <c r="A148" s="7">
        <v>147</v>
      </c>
      <c r="B148" s="7">
        <v>70.118844060000001</v>
      </c>
      <c r="D148" s="22">
        <f t="shared" si="14"/>
        <v>0.16244513229992208</v>
      </c>
      <c r="E148" s="11">
        <v>69.95219075</v>
      </c>
      <c r="F148" s="28">
        <f t="shared" si="17"/>
        <v>-4.2081777000788634E-3</v>
      </c>
      <c r="G148" s="22">
        <f t="shared" si="15"/>
        <v>2.6388421007939186E-2</v>
      </c>
      <c r="H148" s="11">
        <f t="shared" si="16"/>
        <v>-6.8359798323089273E-4</v>
      </c>
      <c r="L148" s="24">
        <f t="shared" si="18"/>
        <v>4904.9667548546249</v>
      </c>
      <c r="M148" s="22">
        <f t="shared" si="19"/>
        <v>4893.3089907243857</v>
      </c>
      <c r="N148" s="11">
        <f t="shared" si="20"/>
        <v>1.002382388717397</v>
      </c>
    </row>
    <row r="149" spans="1:14">
      <c r="A149" s="7">
        <v>148</v>
      </c>
      <c r="B149" s="7">
        <v>70.805682970000007</v>
      </c>
      <c r="D149" s="22">
        <f t="shared" si="14"/>
        <v>0.84928404229992793</v>
      </c>
      <c r="E149" s="11">
        <v>70.118844060000001</v>
      </c>
      <c r="F149" s="28">
        <f t="shared" si="17"/>
        <v>0.16244513229992208</v>
      </c>
      <c r="G149" s="22">
        <f t="shared" si="15"/>
        <v>0.72128338450530582</v>
      </c>
      <c r="H149" s="11">
        <f t="shared" si="16"/>
        <v>0.13796205861162442</v>
      </c>
      <c r="L149" s="24">
        <f t="shared" si="18"/>
        <v>4964.8126427352281</v>
      </c>
      <c r="M149" s="22">
        <f t="shared" si="19"/>
        <v>4916.6522923105977</v>
      </c>
      <c r="N149" s="11">
        <f t="shared" si="20"/>
        <v>1.0097953541477707</v>
      </c>
    </row>
    <row r="150" spans="1:14">
      <c r="A150" s="7">
        <v>149</v>
      </c>
      <c r="B150" s="7">
        <v>68.623499910000007</v>
      </c>
      <c r="D150" s="22">
        <f t="shared" si="14"/>
        <v>-1.3328990177000719</v>
      </c>
      <c r="E150" s="11">
        <v>70.805682970000007</v>
      </c>
      <c r="F150" s="28">
        <f t="shared" si="17"/>
        <v>0.84928404229992793</v>
      </c>
      <c r="G150" s="22">
        <f t="shared" si="15"/>
        <v>1.7766197913858166</v>
      </c>
      <c r="H150" s="11">
        <f t="shared" si="16"/>
        <v>-1.1320098657299202</v>
      </c>
      <c r="L150" s="24">
        <f t="shared" si="18"/>
        <v>4858.9337789192841</v>
      </c>
      <c r="M150" s="22">
        <f t="shared" si="19"/>
        <v>5013.4447408481492</v>
      </c>
      <c r="N150" s="11">
        <f t="shared" si="20"/>
        <v>0.9691806791705605</v>
      </c>
    </row>
    <row r="151" spans="1:14">
      <c r="A151" s="7">
        <v>150</v>
      </c>
      <c r="B151" s="7">
        <v>69.235998960000003</v>
      </c>
      <c r="D151" s="22">
        <f t="shared" si="14"/>
        <v>-0.72039996770007519</v>
      </c>
      <c r="E151" s="11">
        <v>68.623499910000007</v>
      </c>
      <c r="F151" s="28">
        <f t="shared" si="17"/>
        <v>-1.3328990177000719</v>
      </c>
      <c r="G151" s="22">
        <f t="shared" si="15"/>
        <v>0.51897611346226935</v>
      </c>
      <c r="H151" s="11">
        <f t="shared" si="16"/>
        <v>0.96022040929859376</v>
      </c>
      <c r="L151" s="24">
        <f t="shared" si="18"/>
        <v>4751.2165684003212</v>
      </c>
      <c r="M151" s="22">
        <f t="shared" si="19"/>
        <v>4709.1847398977707</v>
      </c>
      <c r="N151" s="11">
        <f t="shared" si="20"/>
        <v>1.0089255000226351</v>
      </c>
    </row>
    <row r="152" spans="1:14">
      <c r="A152" s="7">
        <v>151</v>
      </c>
      <c r="B152" s="7">
        <v>70.727244240000005</v>
      </c>
      <c r="D152" s="22">
        <f t="shared" si="14"/>
        <v>0.77084531229992592</v>
      </c>
      <c r="E152" s="11">
        <v>69.235998960000003</v>
      </c>
      <c r="F152" s="28">
        <f t="shared" si="17"/>
        <v>-0.72039996770007519</v>
      </c>
      <c r="G152" s="22">
        <f t="shared" si="15"/>
        <v>0.59420249549477033</v>
      </c>
      <c r="H152" s="11">
        <f t="shared" si="16"/>
        <v>-0.55531693808262106</v>
      </c>
      <c r="L152" s="24">
        <f t="shared" si="18"/>
        <v>4896.8714086443069</v>
      </c>
      <c r="M152" s="22">
        <f t="shared" si="19"/>
        <v>4793.6235519891216</v>
      </c>
      <c r="N152" s="11">
        <f t="shared" si="20"/>
        <v>1.021538582563986</v>
      </c>
    </row>
    <row r="153" spans="1:14">
      <c r="A153" s="7">
        <v>152</v>
      </c>
      <c r="B153" s="7">
        <v>69.003948570000006</v>
      </c>
      <c r="D153" s="22">
        <f t="shared" si="14"/>
        <v>-0.95245035770007291</v>
      </c>
      <c r="E153" s="11">
        <v>70.727244240000005</v>
      </c>
      <c r="F153" s="28">
        <f t="shared" si="17"/>
        <v>0.77084531229992592</v>
      </c>
      <c r="G153" s="22">
        <f t="shared" si="15"/>
        <v>0.90716168388299689</v>
      </c>
      <c r="H153" s="11">
        <f t="shared" si="16"/>
        <v>-0.73419189343148883</v>
      </c>
      <c r="L153" s="24">
        <f t="shared" si="18"/>
        <v>4880.4591240347891</v>
      </c>
      <c r="M153" s="22">
        <f t="shared" si="19"/>
        <v>5002.3430777846143</v>
      </c>
      <c r="N153" s="11">
        <f t="shared" si="20"/>
        <v>0.97563462724275918</v>
      </c>
    </row>
    <row r="154" spans="1:14">
      <c r="A154" s="7">
        <v>153</v>
      </c>
      <c r="B154" s="7">
        <v>69.632391150000004</v>
      </c>
      <c r="D154" s="22">
        <f t="shared" si="14"/>
        <v>-0.32400777770007494</v>
      </c>
      <c r="E154" s="11">
        <v>69.003948570000006</v>
      </c>
      <c r="F154" s="28">
        <f t="shared" si="17"/>
        <v>-0.95245035770007291</v>
      </c>
      <c r="G154" s="22">
        <f t="shared" si="15"/>
        <v>0.10498104001014118</v>
      </c>
      <c r="H154" s="11">
        <f t="shared" si="16"/>
        <v>0.30860132376804206</v>
      </c>
      <c r="L154" s="24">
        <f t="shared" si="18"/>
        <v>4804.909937720724</v>
      </c>
      <c r="M154" s="22">
        <f t="shared" si="19"/>
        <v>4761.5449182512057</v>
      </c>
      <c r="N154" s="11">
        <f t="shared" si="20"/>
        <v>1.0091073423046579</v>
      </c>
    </row>
    <row r="155" spans="1:14">
      <c r="A155" s="7">
        <v>154</v>
      </c>
      <c r="B155" s="7">
        <v>71.77443169</v>
      </c>
      <c r="D155" s="22">
        <f t="shared" si="14"/>
        <v>1.8180327622999215</v>
      </c>
      <c r="E155" s="11">
        <v>69.632391150000004</v>
      </c>
      <c r="F155" s="28">
        <f t="shared" si="17"/>
        <v>-0.32400777770007494</v>
      </c>
      <c r="G155" s="22">
        <f t="shared" si="15"/>
        <v>3.3052431247958829</v>
      </c>
      <c r="H155" s="11">
        <f t="shared" si="16"/>
        <v>-0.58905675509872613</v>
      </c>
      <c r="L155" s="24">
        <f t="shared" si="18"/>
        <v>4997.825302007036</v>
      </c>
      <c r="M155" s="22">
        <f t="shared" si="19"/>
        <v>4848.669897266599</v>
      </c>
      <c r="N155" s="11">
        <f t="shared" si="20"/>
        <v>1.0307621281507577</v>
      </c>
    </row>
    <row r="156" spans="1:14">
      <c r="A156" s="7">
        <v>155</v>
      </c>
      <c r="B156" s="7">
        <v>71.160083970000002</v>
      </c>
      <c r="D156" s="22">
        <f t="shared" si="14"/>
        <v>1.2036850422999237</v>
      </c>
      <c r="E156" s="11">
        <v>71.77443169</v>
      </c>
      <c r="F156" s="28">
        <f t="shared" si="17"/>
        <v>1.8180327622999215</v>
      </c>
      <c r="G156" s="22">
        <f t="shared" si="15"/>
        <v>1.448857681056569</v>
      </c>
      <c r="H156" s="11">
        <f t="shared" si="16"/>
        <v>2.1883388423916279</v>
      </c>
      <c r="L156" s="24">
        <f t="shared" si="18"/>
        <v>5107.4745859594295</v>
      </c>
      <c r="M156" s="22">
        <f t="shared" si="19"/>
        <v>5151.5690444224765</v>
      </c>
      <c r="N156" s="11">
        <f t="shared" si="20"/>
        <v>0.99144057701977473</v>
      </c>
    </row>
    <row r="157" spans="1:14">
      <c r="A157" s="7">
        <v>156</v>
      </c>
      <c r="B157" s="7">
        <v>70.985126809999997</v>
      </c>
      <c r="D157" s="22">
        <f t="shared" si="14"/>
        <v>1.0287278822999184</v>
      </c>
      <c r="E157" s="11">
        <v>71.160083970000002</v>
      </c>
      <c r="F157" s="28">
        <f t="shared" si="17"/>
        <v>1.2036850422999237</v>
      </c>
      <c r="G157" s="22">
        <f t="shared" si="15"/>
        <v>1.0582810558212747</v>
      </c>
      <c r="H157" s="11">
        <f t="shared" si="16"/>
        <v>1.2382643645212883</v>
      </c>
      <c r="L157" s="24">
        <f t="shared" si="18"/>
        <v>5051.3075844206978</v>
      </c>
      <c r="M157" s="22">
        <f t="shared" si="19"/>
        <v>5063.7575506174517</v>
      </c>
      <c r="N157" s="11">
        <f t="shared" si="20"/>
        <v>0.99754135815700029</v>
      </c>
    </row>
    <row r="158" spans="1:14">
      <c r="A158" s="7">
        <v>157</v>
      </c>
      <c r="B158" s="7">
        <v>70.91362135</v>
      </c>
      <c r="D158" s="22">
        <f t="shared" si="14"/>
        <v>0.95722242229992105</v>
      </c>
      <c r="E158" s="11">
        <v>70.985126809999997</v>
      </c>
      <c r="F158" s="28">
        <f t="shared" si="17"/>
        <v>1.0287278822999184</v>
      </c>
      <c r="G158" s="22">
        <f t="shared" si="15"/>
        <v>0.91627476575372835</v>
      </c>
      <c r="H158" s="11">
        <f t="shared" si="16"/>
        <v>0.98472139538259595</v>
      </c>
      <c r="L158" s="24">
        <f t="shared" si="18"/>
        <v>5033.812404086073</v>
      </c>
      <c r="M158" s="22">
        <f t="shared" si="19"/>
        <v>5038.88822823178</v>
      </c>
      <c r="N158" s="11">
        <f t="shared" si="20"/>
        <v>0.9989926698279854</v>
      </c>
    </row>
    <row r="159" spans="1:14">
      <c r="A159" s="7">
        <v>158</v>
      </c>
      <c r="B159" s="7">
        <v>69.545129070000002</v>
      </c>
      <c r="D159" s="22">
        <f t="shared" si="14"/>
        <v>-0.41126985770007707</v>
      </c>
      <c r="E159" s="11">
        <v>70.91362135</v>
      </c>
      <c r="F159" s="28">
        <f t="shared" si="17"/>
        <v>0.95722242229992105</v>
      </c>
      <c r="G159" s="22">
        <f t="shared" si="15"/>
        <v>0.16914289585264164</v>
      </c>
      <c r="H159" s="11">
        <f t="shared" si="16"/>
        <v>-0.39367672940661158</v>
      </c>
      <c r="L159" s="24">
        <f t="shared" si="18"/>
        <v>4931.6969496068577</v>
      </c>
      <c r="M159" s="22">
        <f t="shared" si="19"/>
        <v>5028.7416929711753</v>
      </c>
      <c r="N159" s="11">
        <f t="shared" si="20"/>
        <v>0.98070198286383248</v>
      </c>
    </row>
    <row r="160" spans="1:14">
      <c r="A160" s="7">
        <v>159</v>
      </c>
      <c r="B160" s="7">
        <v>69.492757769999997</v>
      </c>
      <c r="D160" s="22">
        <f t="shared" si="14"/>
        <v>-0.46364115770008141</v>
      </c>
      <c r="E160" s="11">
        <v>69.545129070000002</v>
      </c>
      <c r="F160" s="28">
        <f t="shared" si="17"/>
        <v>-0.41126985770007707</v>
      </c>
      <c r="G160" s="22">
        <f t="shared" si="15"/>
        <v>0.21496312311347177</v>
      </c>
      <c r="H160" s="11">
        <f t="shared" si="16"/>
        <v>0.19068163295121146</v>
      </c>
      <c r="L160" s="24">
        <f t="shared" si="18"/>
        <v>4832.8828085448949</v>
      </c>
      <c r="M160" s="22">
        <f t="shared" si="19"/>
        <v>4836.5249773629594</v>
      </c>
      <c r="N160" s="11">
        <f t="shared" si="20"/>
        <v>0.9992469451031244</v>
      </c>
    </row>
    <row r="161" spans="1:14">
      <c r="A161" s="7">
        <v>160</v>
      </c>
      <c r="B161" s="7">
        <v>68.265121230000005</v>
      </c>
      <c r="D161" s="22">
        <f t="shared" si="14"/>
        <v>-1.6912776977000732</v>
      </c>
      <c r="E161" s="11">
        <v>69.492757769999997</v>
      </c>
      <c r="F161" s="28">
        <f t="shared" si="17"/>
        <v>-0.46364115770008141</v>
      </c>
      <c r="G161" s="22">
        <f t="shared" si="15"/>
        <v>2.8604202507376604</v>
      </c>
      <c r="H161" s="11">
        <f t="shared" si="16"/>
        <v>0.78414594975399021</v>
      </c>
      <c r="L161" s="24">
        <f t="shared" si="18"/>
        <v>4743.9315337760745</v>
      </c>
      <c r="M161" s="22">
        <f t="shared" si="19"/>
        <v>4829.2433824798945</v>
      </c>
      <c r="N161" s="11">
        <f t="shared" si="20"/>
        <v>0.98233432404477183</v>
      </c>
    </row>
    <row r="162" spans="1:14">
      <c r="A162" s="7">
        <v>161</v>
      </c>
      <c r="B162" s="7">
        <v>68.659942369999996</v>
      </c>
      <c r="D162" s="22">
        <f t="shared" si="14"/>
        <v>-1.2964565577000826</v>
      </c>
      <c r="E162" s="11">
        <v>68.265121230000005</v>
      </c>
      <c r="F162" s="28">
        <f t="shared" si="17"/>
        <v>-1.6912776977000732</v>
      </c>
      <c r="G162" s="22">
        <f t="shared" si="15"/>
        <v>1.6807996060035477</v>
      </c>
      <c r="H162" s="11">
        <f t="shared" si="16"/>
        <v>2.1926680620751577</v>
      </c>
      <c r="L162" s="24">
        <f t="shared" si="18"/>
        <v>4687.0792895328632</v>
      </c>
      <c r="M162" s="22">
        <f t="shared" si="19"/>
        <v>4660.1267765465973</v>
      </c>
      <c r="N162" s="11">
        <f t="shared" si="20"/>
        <v>1.0057836437244394</v>
      </c>
    </row>
    <row r="163" spans="1:14">
      <c r="A163" s="7">
        <v>162</v>
      </c>
      <c r="B163" s="7">
        <v>69.982117029999998</v>
      </c>
      <c r="D163" s="22">
        <f t="shared" si="14"/>
        <v>2.571810229991911E-2</v>
      </c>
      <c r="E163" s="11">
        <v>68.659942369999996</v>
      </c>
      <c r="F163" s="28">
        <f t="shared" si="17"/>
        <v>-1.2964565577000826</v>
      </c>
      <c r="G163" s="22">
        <f t="shared" si="15"/>
        <v>6.6142078590910463E-4</v>
      </c>
      <c r="H163" s="11">
        <f t="shared" si="16"/>
        <v>-3.3342402378331706E-2</v>
      </c>
      <c r="L163" s="24">
        <f t="shared" si="18"/>
        <v>4804.9681222103954</v>
      </c>
      <c r="M163" s="22">
        <f t="shared" si="19"/>
        <v>4714.1876862517211</v>
      </c>
      <c r="N163" s="11">
        <f t="shared" si="20"/>
        <v>1.0192568565361586</v>
      </c>
    </row>
    <row r="164" spans="1:14">
      <c r="A164" s="7">
        <v>163</v>
      </c>
      <c r="B164" s="7">
        <v>71.114388000000005</v>
      </c>
      <c r="D164" s="22">
        <f t="shared" si="14"/>
        <v>1.1579890722999266</v>
      </c>
      <c r="E164" s="11">
        <v>69.982117029999998</v>
      </c>
      <c r="F164" s="28">
        <f t="shared" si="17"/>
        <v>2.571810229991911E-2</v>
      </c>
      <c r="G164" s="22">
        <f t="shared" si="15"/>
        <v>1.3409386915660448</v>
      </c>
      <c r="H164" s="11">
        <f t="shared" si="16"/>
        <v>2.9781281423597941E-2</v>
      </c>
      <c r="L164" s="24">
        <f t="shared" si="18"/>
        <v>4976.7354235328276</v>
      </c>
      <c r="M164" s="22">
        <f t="shared" si="19"/>
        <v>4897.4967040006159</v>
      </c>
      <c r="N164" s="11">
        <f t="shared" si="20"/>
        <v>1.016179432947343</v>
      </c>
    </row>
    <row r="165" spans="1:14">
      <c r="A165" s="7">
        <v>164</v>
      </c>
      <c r="B165" s="7">
        <v>70.698609820000001</v>
      </c>
      <c r="D165" s="22">
        <f t="shared" si="14"/>
        <v>0.74221089229992288</v>
      </c>
      <c r="E165" s="11">
        <v>71.114388000000005</v>
      </c>
      <c r="F165" s="28">
        <f t="shared" si="17"/>
        <v>1.1579890722999266</v>
      </c>
      <c r="G165" s="22">
        <f t="shared" si="15"/>
        <v>0.55087700864864775</v>
      </c>
      <c r="H165" s="11">
        <f t="shared" si="16"/>
        <v>0.8594721026252885</v>
      </c>
      <c r="L165" s="24">
        <f t="shared" si="18"/>
        <v>5027.6883698000902</v>
      </c>
      <c r="M165" s="22">
        <f t="shared" si="19"/>
        <v>5057.256180614545</v>
      </c>
      <c r="N165" s="11">
        <f t="shared" si="20"/>
        <v>0.99415338876290393</v>
      </c>
    </row>
    <row r="166" spans="1:14">
      <c r="A166" s="7">
        <v>165</v>
      </c>
      <c r="B166" s="7">
        <v>70.804833220000006</v>
      </c>
      <c r="D166" s="22">
        <f t="shared" si="14"/>
        <v>0.84843429229992751</v>
      </c>
      <c r="E166" s="11">
        <v>70.698609820000001</v>
      </c>
      <c r="F166" s="28">
        <f t="shared" si="17"/>
        <v>0.74221089229992288</v>
      </c>
      <c r="G166" s="22">
        <f t="shared" si="15"/>
        <v>0.71984074835047884</v>
      </c>
      <c r="H166" s="11">
        <f t="shared" si="16"/>
        <v>0.62971717314578279</v>
      </c>
      <c r="L166" s="24">
        <f t="shared" si="18"/>
        <v>5005.8032771909548</v>
      </c>
      <c r="M166" s="22">
        <f t="shared" si="19"/>
        <v>4998.2934304806004</v>
      </c>
      <c r="N166" s="11">
        <f t="shared" si="20"/>
        <v>1.0015024821601224</v>
      </c>
    </row>
    <row r="167" spans="1:14">
      <c r="A167" s="7">
        <v>166</v>
      </c>
      <c r="B167" s="7">
        <v>69.170410770000004</v>
      </c>
      <c r="D167" s="22">
        <f t="shared" si="14"/>
        <v>-0.78598815770007491</v>
      </c>
      <c r="E167" s="11">
        <v>70.804833220000006</v>
      </c>
      <c r="F167" s="28">
        <f t="shared" si="17"/>
        <v>0.84843429229992751</v>
      </c>
      <c r="G167" s="22">
        <f t="shared" si="15"/>
        <v>0.61777738404475779</v>
      </c>
      <c r="H167" s="11">
        <f t="shared" si="16"/>
        <v>-0.66685930633438684</v>
      </c>
      <c r="L167" s="24">
        <f t="shared" si="18"/>
        <v>4897.5993983287426</v>
      </c>
      <c r="M167" s="22">
        <f t="shared" si="19"/>
        <v>5013.3244073120168</v>
      </c>
      <c r="N167" s="11">
        <f t="shared" si="20"/>
        <v>0.97691651296004556</v>
      </c>
    </row>
    <row r="168" spans="1:14">
      <c r="A168" s="7">
        <v>167</v>
      </c>
      <c r="B168" s="7">
        <v>69.159099220000002</v>
      </c>
      <c r="D168" s="22">
        <f t="shared" si="14"/>
        <v>-0.79729970770007697</v>
      </c>
      <c r="E168" s="11">
        <v>69.170410770000004</v>
      </c>
      <c r="F168" s="28">
        <f t="shared" si="17"/>
        <v>-0.78598815770007491</v>
      </c>
      <c r="G168" s="22">
        <f t="shared" si="15"/>
        <v>0.63568682389862818</v>
      </c>
      <c r="H168" s="11">
        <f t="shared" si="16"/>
        <v>0.62666812838999175</v>
      </c>
      <c r="L168" s="24">
        <f t="shared" si="18"/>
        <v>4783.7633015305873</v>
      </c>
      <c r="M168" s="22">
        <f t="shared" si="19"/>
        <v>4784.5457260905323</v>
      </c>
      <c r="N168" s="11">
        <f t="shared" si="20"/>
        <v>0.99983646837030349</v>
      </c>
    </row>
    <row r="169" spans="1:14">
      <c r="A169" s="7">
        <v>168</v>
      </c>
      <c r="B169" s="7">
        <v>69.763615689999995</v>
      </c>
      <c r="D169" s="22">
        <f t="shared" si="14"/>
        <v>-0.19278323770008399</v>
      </c>
      <c r="E169" s="11">
        <v>69.159099220000002</v>
      </c>
      <c r="F169" s="28">
        <f t="shared" si="17"/>
        <v>-0.79729970770007697</v>
      </c>
      <c r="G169" s="22">
        <f t="shared" si="15"/>
        <v>3.7165376738127087E-2</v>
      </c>
      <c r="H169" s="11">
        <f t="shared" si="16"/>
        <v>0.15370601906775141</v>
      </c>
      <c r="L169" s="24">
        <f t="shared" si="18"/>
        <v>4824.7888194506586</v>
      </c>
      <c r="M169" s="22">
        <f t="shared" si="19"/>
        <v>4782.9810049218049</v>
      </c>
      <c r="N169" s="11">
        <f t="shared" si="20"/>
        <v>1.0087409534944489</v>
      </c>
    </row>
    <row r="170" spans="1:14">
      <c r="A170" s="7">
        <v>169</v>
      </c>
      <c r="B170" s="7">
        <v>71.960030889999999</v>
      </c>
      <c r="D170" s="22">
        <f t="shared" si="14"/>
        <v>2.0036319622999201</v>
      </c>
      <c r="E170" s="11">
        <v>69.763615689999995</v>
      </c>
      <c r="F170" s="28">
        <f t="shared" si="17"/>
        <v>-0.19278323770008399</v>
      </c>
      <c r="G170" s="22">
        <f t="shared" si="15"/>
        <v>4.0145410403498287</v>
      </c>
      <c r="H170" s="11">
        <f t="shared" si="16"/>
        <v>-0.3862666568515512</v>
      </c>
      <c r="L170" s="24">
        <f t="shared" si="18"/>
        <v>5020.1919400504885</v>
      </c>
      <c r="M170" s="22">
        <f t="shared" si="19"/>
        <v>4866.9620741420131</v>
      </c>
      <c r="N170" s="11">
        <f t="shared" si="20"/>
        <v>1.0314836778208278</v>
      </c>
    </row>
    <row r="171" spans="1:14">
      <c r="A171" s="7">
        <v>170</v>
      </c>
      <c r="B171" s="7">
        <v>71.03276717</v>
      </c>
      <c r="D171" s="22">
        <f t="shared" si="14"/>
        <v>1.076368242299921</v>
      </c>
      <c r="E171" s="11">
        <v>71.960030889999999</v>
      </c>
      <c r="F171" s="28">
        <f t="shared" si="17"/>
        <v>2.0036319622999201</v>
      </c>
      <c r="G171" s="22">
        <f t="shared" si="15"/>
        <v>1.1585685930318215</v>
      </c>
      <c r="H171" s="11">
        <f t="shared" si="16"/>
        <v>2.1566458134767066</v>
      </c>
      <c r="L171" s="24">
        <f t="shared" si="18"/>
        <v>5111.5201197553779</v>
      </c>
      <c r="M171" s="22">
        <f t="shared" si="19"/>
        <v>5178.2460456897543</v>
      </c>
      <c r="N171" s="11">
        <f t="shared" si="20"/>
        <v>0.98711418396390849</v>
      </c>
    </row>
    <row r="172" spans="1:14">
      <c r="A172" s="7">
        <v>171</v>
      </c>
      <c r="B172" s="7">
        <v>69.532634400000006</v>
      </c>
      <c r="D172" s="22">
        <f t="shared" si="14"/>
        <v>-0.42376452770007234</v>
      </c>
      <c r="E172" s="11">
        <v>71.03276717</v>
      </c>
      <c r="F172" s="28">
        <f t="shared" si="17"/>
        <v>1.076368242299921</v>
      </c>
      <c r="G172" s="22">
        <f t="shared" si="15"/>
        <v>0.17957637493686537</v>
      </c>
      <c r="H172" s="11">
        <f t="shared" si="16"/>
        <v>-0.45612667982958305</v>
      </c>
      <c r="L172" s="24">
        <f t="shared" si="18"/>
        <v>4939.0954300519334</v>
      </c>
      <c r="M172" s="22">
        <f t="shared" si="19"/>
        <v>5045.6540118274297</v>
      </c>
      <c r="N172" s="11">
        <f t="shared" si="20"/>
        <v>0.97888111600087635</v>
      </c>
    </row>
    <row r="173" spans="1:14">
      <c r="A173" s="7">
        <v>172</v>
      </c>
      <c r="B173" s="7">
        <v>69.431101709999993</v>
      </c>
      <c r="D173" s="22">
        <f t="shared" si="14"/>
        <v>-0.52529721770008564</v>
      </c>
      <c r="E173" s="11">
        <v>69.532634400000006</v>
      </c>
      <c r="F173" s="28">
        <f t="shared" si="17"/>
        <v>-0.42376452770007234</v>
      </c>
      <c r="G173" s="22">
        <f t="shared" si="15"/>
        <v>0.27593716692345116</v>
      </c>
      <c r="H173" s="11">
        <f t="shared" si="16"/>
        <v>0.22260232736083888</v>
      </c>
      <c r="L173" s="24">
        <f t="shared" si="18"/>
        <v>4827.7274111906445</v>
      </c>
      <c r="M173" s="22">
        <f t="shared" si="19"/>
        <v>4834.7872466040644</v>
      </c>
      <c r="N173" s="11">
        <f t="shared" si="20"/>
        <v>0.99853978364438301</v>
      </c>
    </row>
    <row r="174" spans="1:14">
      <c r="A174" s="7">
        <v>173</v>
      </c>
      <c r="B174" s="7">
        <v>68.879757260000005</v>
      </c>
      <c r="D174" s="22">
        <f t="shared" si="14"/>
        <v>-1.0766416677000734</v>
      </c>
      <c r="E174" s="11">
        <v>69.431101709999993</v>
      </c>
      <c r="F174" s="28">
        <f t="shared" si="17"/>
        <v>-0.52529721770008564</v>
      </c>
      <c r="G174" s="22">
        <f t="shared" si="15"/>
        <v>1.1591572806279953</v>
      </c>
      <c r="H174" s="11">
        <f t="shared" si="16"/>
        <v>0.56555687250282871</v>
      </c>
      <c r="L174" s="24">
        <f t="shared" si="18"/>
        <v>4782.3974320791704</v>
      </c>
      <c r="M174" s="22">
        <f t="shared" si="19"/>
        <v>4820.6778846643638</v>
      </c>
      <c r="N174" s="11">
        <f t="shared" si="20"/>
        <v>0.99205911419492021</v>
      </c>
    </row>
    <row r="175" spans="1:14">
      <c r="A175" s="7">
        <v>174</v>
      </c>
      <c r="B175" s="7">
        <v>69.691277690000007</v>
      </c>
      <c r="D175" s="22">
        <f t="shared" si="14"/>
        <v>-0.26512123770007179</v>
      </c>
      <c r="E175" s="11">
        <v>68.879757260000005</v>
      </c>
      <c r="F175" s="28">
        <f t="shared" si="17"/>
        <v>-1.0766416677000734</v>
      </c>
      <c r="G175" s="22">
        <f t="shared" si="15"/>
        <v>7.028927067961796E-2</v>
      </c>
      <c r="H175" s="11">
        <f t="shared" si="16"/>
        <v>0.28544057150011287</v>
      </c>
      <c r="L175" s="24">
        <f t="shared" si="18"/>
        <v>4800.318290426454</v>
      </c>
      <c r="M175" s="22">
        <f t="shared" si="19"/>
        <v>4744.4209601965231</v>
      </c>
      <c r="N175" s="11">
        <f t="shared" si="20"/>
        <v>1.0117816970076821</v>
      </c>
    </row>
    <row r="176" spans="1:14">
      <c r="A176" s="7">
        <v>175</v>
      </c>
      <c r="B176" s="7">
        <v>69.785784219999996</v>
      </c>
      <c r="D176" s="22">
        <f t="shared" si="14"/>
        <v>-0.17061470770008214</v>
      </c>
      <c r="E176" s="11">
        <v>69.691277690000007</v>
      </c>
      <c r="F176" s="28">
        <f t="shared" si="17"/>
        <v>-0.26512123770007179</v>
      </c>
      <c r="G176" s="22">
        <f t="shared" si="15"/>
        <v>2.9109378483584466E-2</v>
      </c>
      <c r="H176" s="11">
        <f t="shared" si="16"/>
        <v>4.5233582475281746E-2</v>
      </c>
      <c r="L176" s="24">
        <f t="shared" si="18"/>
        <v>4863.4604668904403</v>
      </c>
      <c r="M176" s="22">
        <f t="shared" si="19"/>
        <v>4856.8741860646924</v>
      </c>
      <c r="N176" s="11">
        <f t="shared" si="20"/>
        <v>1.0013560740042733</v>
      </c>
    </row>
    <row r="177" spans="1:14">
      <c r="A177" s="7">
        <v>176</v>
      </c>
      <c r="B177" s="7">
        <v>68.172759679999999</v>
      </c>
      <c r="D177" s="22">
        <f t="shared" si="14"/>
        <v>-1.78363924770008</v>
      </c>
      <c r="E177" s="11">
        <v>69.785784219999996</v>
      </c>
      <c r="F177" s="28">
        <f t="shared" si="17"/>
        <v>-0.17061470770008214</v>
      </c>
      <c r="G177" s="22">
        <f t="shared" si="15"/>
        <v>3.1813689659361071</v>
      </c>
      <c r="H177" s="11">
        <f t="shared" si="16"/>
        <v>0.30431508888874353</v>
      </c>
      <c r="L177" s="24">
        <f t="shared" si="18"/>
        <v>4757.4894967103955</v>
      </c>
      <c r="M177" s="22">
        <f t="shared" si="19"/>
        <v>4870.0556792004008</v>
      </c>
      <c r="N177" s="11">
        <f t="shared" si="20"/>
        <v>0.97688605841391796</v>
      </c>
    </row>
    <row r="178" spans="1:14">
      <c r="A178" s="7">
        <v>177</v>
      </c>
      <c r="B178" s="7">
        <v>68.909333989999993</v>
      </c>
      <c r="D178" s="22">
        <f t="shared" si="14"/>
        <v>-1.0470649377000854</v>
      </c>
      <c r="E178" s="11">
        <v>68.172759679999999</v>
      </c>
      <c r="F178" s="28">
        <f t="shared" si="17"/>
        <v>-1.78363924770008</v>
      </c>
      <c r="G178" s="22">
        <f t="shared" si="15"/>
        <v>1.0963449837608836</v>
      </c>
      <c r="H178" s="11">
        <f t="shared" si="16"/>
        <v>1.8675861177725113</v>
      </c>
      <c r="L178" s="24">
        <f t="shared" si="18"/>
        <v>4697.7394658091252</v>
      </c>
      <c r="M178" s="22">
        <f t="shared" si="19"/>
        <v>4647.5251623870336</v>
      </c>
      <c r="N178" s="11">
        <f t="shared" si="20"/>
        <v>1.0108045253479168</v>
      </c>
    </row>
    <row r="179" spans="1:14">
      <c r="A179" s="7">
        <v>178</v>
      </c>
      <c r="B179" s="7">
        <v>69.576229400000003</v>
      </c>
      <c r="D179" s="22">
        <f t="shared" si="14"/>
        <v>-0.38016952770007606</v>
      </c>
      <c r="E179" s="11">
        <v>68.909333989999993</v>
      </c>
      <c r="F179" s="28">
        <f t="shared" si="17"/>
        <v>-1.0470649377000854</v>
      </c>
      <c r="G179" s="22">
        <f t="shared" si="15"/>
        <v>0.14452886979169891</v>
      </c>
      <c r="H179" s="11">
        <f t="shared" si="16"/>
        <v>0.39806218283675099</v>
      </c>
      <c r="L179" s="24">
        <f t="shared" si="18"/>
        <v>4794.4516294894574</v>
      </c>
      <c r="M179" s="22">
        <f t="shared" si="19"/>
        <v>4748.4963109453684</v>
      </c>
      <c r="N179" s="11">
        <f t="shared" si="20"/>
        <v>1.0096778675889799</v>
      </c>
    </row>
    <row r="180" spans="1:14">
      <c r="A180" s="7">
        <v>179</v>
      </c>
      <c r="B180" s="7">
        <v>68.440514140000005</v>
      </c>
      <c r="D180" s="22">
        <f t="shared" si="14"/>
        <v>-1.5158847877000738</v>
      </c>
      <c r="E180" s="11">
        <v>69.576229400000003</v>
      </c>
      <c r="F180" s="28">
        <f t="shared" si="17"/>
        <v>-0.38016952770007606</v>
      </c>
      <c r="G180" s="22">
        <f t="shared" si="15"/>
        <v>2.2979066895804978</v>
      </c>
      <c r="H180" s="11">
        <f t="shared" si="16"/>
        <v>0.57629320378766713</v>
      </c>
      <c r="L180" s="24">
        <f t="shared" si="18"/>
        <v>4761.832912058584</v>
      </c>
      <c r="M180" s="22">
        <f t="shared" si="19"/>
        <v>4840.8516975214243</v>
      </c>
      <c r="N180" s="11">
        <f t="shared" si="20"/>
        <v>0.98367667708075035</v>
      </c>
    </row>
    <row r="181" spans="1:14">
      <c r="A181" s="7">
        <v>180</v>
      </c>
      <c r="B181" s="7">
        <v>69.124305509999999</v>
      </c>
      <c r="D181" s="22">
        <f t="shared" si="14"/>
        <v>-0.83209341770007939</v>
      </c>
      <c r="E181" s="11">
        <v>68.440514140000005</v>
      </c>
      <c r="F181" s="28">
        <f t="shared" si="17"/>
        <v>-1.5158847877000738</v>
      </c>
      <c r="G181" s="22">
        <f t="shared" si="15"/>
        <v>0.69237945577979876</v>
      </c>
      <c r="H181" s="11">
        <f t="shared" si="16"/>
        <v>1.2613577538369136</v>
      </c>
      <c r="L181" s="24">
        <f t="shared" si="18"/>
        <v>4730.9030086748353</v>
      </c>
      <c r="M181" s="22">
        <f t="shared" si="19"/>
        <v>4684.103975747541</v>
      </c>
      <c r="N181" s="11">
        <f t="shared" si="20"/>
        <v>1.0099910320457448</v>
      </c>
    </row>
    <row r="182" spans="1:14">
      <c r="A182" s="7">
        <v>181</v>
      </c>
      <c r="B182" s="7">
        <v>71.43178503</v>
      </c>
      <c r="D182" s="22">
        <f t="shared" si="14"/>
        <v>1.4753861022999217</v>
      </c>
      <c r="E182" s="11">
        <v>69.124305509999999</v>
      </c>
      <c r="F182" s="28">
        <f t="shared" si="17"/>
        <v>-0.83209341770007939</v>
      </c>
      <c r="G182" s="22">
        <f t="shared" si="15"/>
        <v>2.1767641508597553</v>
      </c>
      <c r="H182" s="11">
        <f t="shared" si="16"/>
        <v>-1.2276590642899408</v>
      </c>
      <c r="L182" s="24">
        <f t="shared" si="18"/>
        <v>4937.6725315383646</v>
      </c>
      <c r="M182" s="22">
        <f t="shared" si="19"/>
        <v>4778.1696122398162</v>
      </c>
      <c r="N182" s="11">
        <f t="shared" si="20"/>
        <v>1.0333815942594344</v>
      </c>
    </row>
    <row r="183" spans="1:14">
      <c r="A183" s="7">
        <v>182</v>
      </c>
      <c r="B183" s="7">
        <v>71.643083110000006</v>
      </c>
      <c r="D183" s="22">
        <f t="shared" si="14"/>
        <v>1.6866841822999277</v>
      </c>
      <c r="E183" s="11">
        <v>71.43178503</v>
      </c>
      <c r="F183" s="28">
        <f t="shared" si="17"/>
        <v>1.4753861022999217</v>
      </c>
      <c r="G183" s="22">
        <f t="shared" si="15"/>
        <v>2.8449035308207757</v>
      </c>
      <c r="H183" s="11">
        <f t="shared" si="16"/>
        <v>2.488510401534421</v>
      </c>
      <c r="L183" s="24">
        <f t="shared" si="18"/>
        <v>5117.5933115999442</v>
      </c>
      <c r="M183" s="22">
        <f t="shared" si="19"/>
        <v>5102.4999125721324</v>
      </c>
      <c r="N183" s="11">
        <f t="shared" si="20"/>
        <v>1.0029580400365363</v>
      </c>
    </row>
    <row r="184" spans="1:14">
      <c r="A184" s="7">
        <v>183</v>
      </c>
      <c r="B184" s="7">
        <v>71.168241550000005</v>
      </c>
      <c r="D184" s="22">
        <f t="shared" si="14"/>
        <v>1.2118426222999261</v>
      </c>
      <c r="E184" s="11">
        <v>71.643083110000006</v>
      </c>
      <c r="F184" s="28">
        <f t="shared" si="17"/>
        <v>1.6866841822999277</v>
      </c>
      <c r="G184" s="22">
        <f t="shared" si="15"/>
        <v>1.4685625412227614</v>
      </c>
      <c r="H184" s="11">
        <f t="shared" si="16"/>
        <v>2.0439957824701511</v>
      </c>
      <c r="L184" s="24">
        <f t="shared" si="18"/>
        <v>5098.7122441592064</v>
      </c>
      <c r="M184" s="22">
        <f t="shared" si="19"/>
        <v>5132.7313575063681</v>
      </c>
      <c r="N184" s="11">
        <f t="shared" si="20"/>
        <v>0.993372122759277</v>
      </c>
    </row>
    <row r="185" spans="1:14">
      <c r="A185" s="7">
        <v>184</v>
      </c>
      <c r="B185" s="7">
        <v>68.866523270000002</v>
      </c>
      <c r="D185" s="22">
        <f t="shared" si="14"/>
        <v>-1.0898756577000768</v>
      </c>
      <c r="E185" s="11">
        <v>71.168241550000005</v>
      </c>
      <c r="F185" s="28">
        <f t="shared" si="17"/>
        <v>1.2118426222999261</v>
      </c>
      <c r="G185" s="22">
        <f t="shared" si="15"/>
        <v>1.187828949247175</v>
      </c>
      <c r="H185" s="11">
        <f t="shared" si="16"/>
        <v>-1.3207577750081176</v>
      </c>
      <c r="L185" s="24">
        <f t="shared" si="18"/>
        <v>4901.1093627880564</v>
      </c>
      <c r="M185" s="22">
        <f t="shared" si="19"/>
        <v>5064.918605319147</v>
      </c>
      <c r="N185" s="11">
        <f t="shared" si="20"/>
        <v>0.96765807009039417</v>
      </c>
    </row>
    <row r="186" spans="1:14">
      <c r="A186" s="7">
        <v>185</v>
      </c>
      <c r="B186" s="7">
        <v>69.446339870000003</v>
      </c>
      <c r="D186" s="22">
        <f t="shared" si="14"/>
        <v>-0.51005905770007587</v>
      </c>
      <c r="E186" s="11">
        <v>68.866523270000002</v>
      </c>
      <c r="F186" s="28">
        <f t="shared" si="17"/>
        <v>-1.0898756577000768</v>
      </c>
      <c r="G186" s="22">
        <f t="shared" si="15"/>
        <v>0.26016024234188934</v>
      </c>
      <c r="H186" s="11">
        <f t="shared" si="16"/>
        <v>0.55590095097675163</v>
      </c>
      <c r="L186" s="24">
        <f t="shared" si="18"/>
        <v>4782.5279806736844</v>
      </c>
      <c r="M186" s="22">
        <f t="shared" si="19"/>
        <v>4742.5980272974521</v>
      </c>
      <c r="N186" s="11">
        <f t="shared" si="20"/>
        <v>1.0084194260501109</v>
      </c>
    </row>
    <row r="187" spans="1:14">
      <c r="A187" s="7">
        <v>186</v>
      </c>
      <c r="B187" s="7">
        <v>70.156296519999998</v>
      </c>
      <c r="D187" s="22">
        <f t="shared" si="14"/>
        <v>0.19989759229991932</v>
      </c>
      <c r="E187" s="11">
        <v>69.446339870000003</v>
      </c>
      <c r="F187" s="28">
        <f t="shared" si="17"/>
        <v>-0.51005905770007587</v>
      </c>
      <c r="G187" s="22">
        <f t="shared" si="15"/>
        <v>3.9959047407304764E-2</v>
      </c>
      <c r="H187" s="11">
        <f t="shared" si="16"/>
        <v>-0.1019595775650108</v>
      </c>
      <c r="L187" s="24">
        <f t="shared" si="18"/>
        <v>4872.0980121484181</v>
      </c>
      <c r="M187" s="22">
        <f t="shared" si="19"/>
        <v>4822.7941213395516</v>
      </c>
      <c r="N187" s="11">
        <f t="shared" si="20"/>
        <v>1.0102230967294892</v>
      </c>
    </row>
    <row r="188" spans="1:14">
      <c r="A188" s="7">
        <v>187</v>
      </c>
      <c r="B188" s="7">
        <v>70.788921189999996</v>
      </c>
      <c r="D188" s="22">
        <f t="shared" si="14"/>
        <v>0.83252226229991777</v>
      </c>
      <c r="E188" s="11">
        <v>70.156296519999998</v>
      </c>
      <c r="F188" s="28">
        <f t="shared" si="17"/>
        <v>0.19989759229991932</v>
      </c>
      <c r="G188" s="22">
        <f t="shared" si="15"/>
        <v>0.69309331722497314</v>
      </c>
      <c r="H188" s="11">
        <f t="shared" si="16"/>
        <v>0.16641919576983547</v>
      </c>
      <c r="L188" s="24">
        <f t="shared" si="18"/>
        <v>4966.2885453365507</v>
      </c>
      <c r="M188" s="22">
        <f t="shared" si="19"/>
        <v>4921.905941402164</v>
      </c>
      <c r="N188" s="11">
        <f t="shared" si="20"/>
        <v>1.009017361254519</v>
      </c>
    </row>
    <row r="189" spans="1:14">
      <c r="A189" s="7">
        <v>188</v>
      </c>
      <c r="B189" s="7">
        <v>70.849092380000002</v>
      </c>
      <c r="D189" s="22">
        <f t="shared" si="14"/>
        <v>0.89269345229992325</v>
      </c>
      <c r="E189" s="11">
        <v>70.788921189999996</v>
      </c>
      <c r="F189" s="28">
        <f t="shared" si="17"/>
        <v>0.83252226229991777</v>
      </c>
      <c r="G189" s="22">
        <f t="shared" si="15"/>
        <v>0.79690159977915531</v>
      </c>
      <c r="H189" s="11">
        <f t="shared" si="16"/>
        <v>0.74318717244905586</v>
      </c>
      <c r="L189" s="24">
        <f t="shared" si="18"/>
        <v>5015.330816870849</v>
      </c>
      <c r="M189" s="22">
        <f t="shared" si="19"/>
        <v>5011.0713632440302</v>
      </c>
      <c r="N189" s="11">
        <f t="shared" si="20"/>
        <v>1.0008500085746257</v>
      </c>
    </row>
    <row r="190" spans="1:14">
      <c r="A190" s="7">
        <v>189</v>
      </c>
      <c r="B190" s="7">
        <v>68.912998349999995</v>
      </c>
      <c r="D190" s="22">
        <f t="shared" si="14"/>
        <v>-1.0434005777000834</v>
      </c>
      <c r="E190" s="11">
        <v>70.849092380000002</v>
      </c>
      <c r="F190" s="28">
        <f t="shared" si="17"/>
        <v>0.89269345229992325</v>
      </c>
      <c r="G190" s="22">
        <f t="shared" si="15"/>
        <v>1.0886847655448679</v>
      </c>
      <c r="H190" s="11">
        <f t="shared" si="16"/>
        <v>-0.93143686383882174</v>
      </c>
      <c r="L190" s="24">
        <f t="shared" si="18"/>
        <v>4882.4233862819374</v>
      </c>
      <c r="M190" s="22">
        <f t="shared" si="19"/>
        <v>5019.5938910697741</v>
      </c>
      <c r="N190" s="11">
        <f t="shared" si="20"/>
        <v>0.97267298754349962</v>
      </c>
    </row>
    <row r="191" spans="1:14">
      <c r="A191" s="7">
        <v>190</v>
      </c>
      <c r="B191" s="7">
        <v>69.051670479999999</v>
      </c>
      <c r="D191" s="22">
        <f t="shared" si="14"/>
        <v>-0.9047284477000801</v>
      </c>
      <c r="E191" s="11">
        <v>68.912998349999995</v>
      </c>
      <c r="F191" s="28">
        <f t="shared" si="17"/>
        <v>-1.0434005777000834</v>
      </c>
      <c r="G191" s="22">
        <f t="shared" si="15"/>
        <v>0.81853356407779654</v>
      </c>
      <c r="H191" s="11">
        <f t="shared" si="16"/>
        <v>0.9439941849919633</v>
      </c>
      <c r="L191" s="24">
        <f t="shared" si="18"/>
        <v>4758.5576538529831</v>
      </c>
      <c r="M191" s="22">
        <f t="shared" si="19"/>
        <v>4749.0013415871017</v>
      </c>
      <c r="N191" s="11">
        <f t="shared" si="20"/>
        <v>1.0020122782830565</v>
      </c>
    </row>
    <row r="192" spans="1:14">
      <c r="A192" s="7">
        <v>191</v>
      </c>
      <c r="B192" s="7">
        <v>68.99923192</v>
      </c>
      <c r="D192" s="22">
        <f t="shared" si="14"/>
        <v>-0.9571670077000789</v>
      </c>
      <c r="E192" s="11">
        <v>69.051670479999999</v>
      </c>
      <c r="F192" s="28">
        <f t="shared" si="17"/>
        <v>-0.9047284477000801</v>
      </c>
      <c r="G192" s="22">
        <f t="shared" si="15"/>
        <v>0.91616868062952295</v>
      </c>
      <c r="H192" s="11">
        <f t="shared" si="16"/>
        <v>0.86597622106622296</v>
      </c>
      <c r="L192" s="24">
        <f t="shared" si="18"/>
        <v>4764.5122259129375</v>
      </c>
      <c r="M192" s="22">
        <f t="shared" si="19"/>
        <v>4768.1331960785028</v>
      </c>
      <c r="N192" s="11">
        <f t="shared" si="20"/>
        <v>0.99924058955220818</v>
      </c>
    </row>
    <row r="193" spans="1:14">
      <c r="A193" s="7">
        <v>192</v>
      </c>
      <c r="B193" s="7">
        <v>69.633953919999996</v>
      </c>
      <c r="D193" s="22">
        <f t="shared" si="14"/>
        <v>-0.32244500770008244</v>
      </c>
      <c r="E193" s="11">
        <v>68.99923192</v>
      </c>
      <c r="F193" s="28">
        <f t="shared" si="17"/>
        <v>-0.9571670077000789</v>
      </c>
      <c r="G193" s="22">
        <f t="shared" si="15"/>
        <v>0.10397078299070622</v>
      </c>
      <c r="H193" s="11">
        <f t="shared" si="16"/>
        <v>0.30863372316811682</v>
      </c>
      <c r="L193" s="24">
        <f t="shared" si="18"/>
        <v>4804.6893360326731</v>
      </c>
      <c r="M193" s="22">
        <f t="shared" si="19"/>
        <v>4760.894005549947</v>
      </c>
      <c r="N193" s="11">
        <f t="shared" si="20"/>
        <v>1.0091989719644403</v>
      </c>
    </row>
    <row r="194" spans="1:14">
      <c r="A194" s="7">
        <v>193</v>
      </c>
      <c r="B194" s="7">
        <v>69.183201850000003</v>
      </c>
      <c r="D194" s="22">
        <f t="shared" ref="D194:D257" si="21">B194-$C$2</f>
        <v>-0.7731970777000754</v>
      </c>
      <c r="E194" s="11">
        <v>69.633953919999996</v>
      </c>
      <c r="F194" s="28">
        <f t="shared" si="17"/>
        <v>-0.32244500770008244</v>
      </c>
      <c r="G194" s="22">
        <f t="shared" ref="G194:G257" si="22">(B194-$C$2)^2</f>
        <v>0.59783372096393639</v>
      </c>
      <c r="H194" s="11">
        <f t="shared" ref="H194:H257" si="23">D194*F194</f>
        <v>0.24931353767268205</v>
      </c>
      <c r="L194" s="24">
        <f t="shared" si="18"/>
        <v>4817.4998896609586</v>
      </c>
      <c r="M194" s="22">
        <f t="shared" si="19"/>
        <v>4848.8875385326828</v>
      </c>
      <c r="N194" s="11">
        <f t="shared" si="20"/>
        <v>0.99352683504777217</v>
      </c>
    </row>
    <row r="195" spans="1:14">
      <c r="A195" s="7">
        <v>194</v>
      </c>
      <c r="B195" s="7">
        <v>70.932205300000007</v>
      </c>
      <c r="D195" s="22">
        <f t="shared" si="21"/>
        <v>0.97580637229992817</v>
      </c>
      <c r="E195" s="11">
        <v>69.183201850000003</v>
      </c>
      <c r="F195" s="28">
        <f t="shared" ref="F195:F258" si="24">E195-$C$2</f>
        <v>-0.7731970777000754</v>
      </c>
      <c r="G195" s="22">
        <f t="shared" si="22"/>
        <v>0.95219807622114605</v>
      </c>
      <c r="H195" s="11">
        <f t="shared" si="23"/>
        <v>-0.75449063546341621</v>
      </c>
      <c r="L195" s="24">
        <f t="shared" ref="L195:L258" si="25">B195*E195</f>
        <v>4907.3170769355402</v>
      </c>
      <c r="M195" s="22">
        <f t="shared" ref="M195:M258" si="26">E195^2</f>
        <v>4786.3154182178441</v>
      </c>
      <c r="N195" s="11">
        <f t="shared" ref="N195:N258" si="27">L195/M195</f>
        <v>1.0252807531775143</v>
      </c>
    </row>
    <row r="196" spans="1:14">
      <c r="A196" s="7">
        <v>195</v>
      </c>
      <c r="B196" s="7">
        <v>69.945390239999995</v>
      </c>
      <c r="D196" s="22">
        <f t="shared" si="21"/>
        <v>-1.1008687700083897E-2</v>
      </c>
      <c r="E196" s="11">
        <v>70.932205300000007</v>
      </c>
      <c r="F196" s="28">
        <f t="shared" si="24"/>
        <v>0.97580637229992817</v>
      </c>
      <c r="G196" s="22">
        <f t="shared" si="22"/>
        <v>1.2119120487797847E-4</v>
      </c>
      <c r="H196" s="11">
        <f t="shared" si="23"/>
        <v>-1.0742347608401707E-2</v>
      </c>
      <c r="L196" s="24">
        <f t="shared" si="25"/>
        <v>4961.3807802922965</v>
      </c>
      <c r="M196" s="22">
        <f t="shared" si="26"/>
        <v>5031.3777487213492</v>
      </c>
      <c r="N196" s="11">
        <f t="shared" si="27"/>
        <v>0.98608791231251891</v>
      </c>
    </row>
    <row r="197" spans="1:14">
      <c r="A197" s="7">
        <v>196</v>
      </c>
      <c r="B197" s="7">
        <v>68.788630400000002</v>
      </c>
      <c r="D197" s="22">
        <f t="shared" si="21"/>
        <v>-1.1677685277000762</v>
      </c>
      <c r="E197" s="11">
        <v>69.945390239999995</v>
      </c>
      <c r="F197" s="28">
        <f t="shared" si="24"/>
        <v>-1.1008687700083897E-2</v>
      </c>
      <c r="G197" s="22">
        <f t="shared" si="22"/>
        <v>1.3636833342868038</v>
      </c>
      <c r="H197" s="11">
        <f t="shared" si="23"/>
        <v>1.2855599027436911E-2</v>
      </c>
      <c r="L197" s="24">
        <f t="shared" si="25"/>
        <v>4811.4475974031275</v>
      </c>
      <c r="M197" s="22">
        <f t="shared" si="26"/>
        <v>4892.3576158258866</v>
      </c>
      <c r="N197" s="11">
        <f t="shared" si="27"/>
        <v>0.9834619574495066</v>
      </c>
    </row>
    <row r="198" spans="1:14">
      <c r="A198" s="7">
        <v>197</v>
      </c>
      <c r="B198" s="7">
        <v>69.36414757</v>
      </c>
      <c r="D198" s="22">
        <f t="shared" si="21"/>
        <v>-0.59225135770007853</v>
      </c>
      <c r="E198" s="11">
        <v>68.788630400000002</v>
      </c>
      <c r="F198" s="28">
        <f t="shared" si="24"/>
        <v>-1.1677685277000762</v>
      </c>
      <c r="G198" s="22">
        <f t="shared" si="22"/>
        <v>0.35076167069758635</v>
      </c>
      <c r="H198" s="11">
        <f t="shared" si="23"/>
        <v>0.69161249600979191</v>
      </c>
      <c r="L198" s="24">
        <f t="shared" si="25"/>
        <v>4771.4647102037879</v>
      </c>
      <c r="M198" s="22">
        <f t="shared" si="26"/>
        <v>4731.8756723078041</v>
      </c>
      <c r="N198" s="11">
        <f t="shared" si="27"/>
        <v>1.0083664577511344</v>
      </c>
    </row>
    <row r="199" spans="1:14">
      <c r="A199" s="7">
        <v>198</v>
      </c>
      <c r="B199" s="7">
        <v>68.904800359999996</v>
      </c>
      <c r="D199" s="22">
        <f t="shared" si="21"/>
        <v>-1.0515985677000828</v>
      </c>
      <c r="E199" s="11">
        <v>69.36414757</v>
      </c>
      <c r="F199" s="28">
        <f t="shared" si="24"/>
        <v>-0.59225135770007853</v>
      </c>
      <c r="G199" s="22">
        <f t="shared" si="22"/>
        <v>1.1058595475888655</v>
      </c>
      <c r="H199" s="11">
        <f t="shared" si="23"/>
        <v>0.62281067947583191</v>
      </c>
      <c r="L199" s="24">
        <f t="shared" si="25"/>
        <v>4779.5227404524285</v>
      </c>
      <c r="M199" s="22">
        <f t="shared" si="26"/>
        <v>4811.3849681127367</v>
      </c>
      <c r="N199" s="11">
        <f t="shared" si="27"/>
        <v>0.99337774302587012</v>
      </c>
    </row>
    <row r="200" spans="1:14">
      <c r="A200" s="7">
        <v>199</v>
      </c>
      <c r="B200" s="7">
        <v>69.108972640000005</v>
      </c>
      <c r="D200" s="22">
        <f t="shared" si="21"/>
        <v>-0.847426287700074</v>
      </c>
      <c r="E200" s="11">
        <v>68.904800359999996</v>
      </c>
      <c r="F200" s="28">
        <f t="shared" si="24"/>
        <v>-1.0515985677000828</v>
      </c>
      <c r="G200" s="22">
        <f t="shared" si="22"/>
        <v>0.71813131308512856</v>
      </c>
      <c r="H200" s="11">
        <f t="shared" si="23"/>
        <v>0.89115227037679612</v>
      </c>
      <c r="L200" s="24">
        <f t="shared" si="25"/>
        <v>4761.9399628439023</v>
      </c>
      <c r="M200" s="22">
        <f t="shared" si="26"/>
        <v>4747.8715126514553</v>
      </c>
      <c r="N200" s="11">
        <f t="shared" si="27"/>
        <v>1.0029631067637277</v>
      </c>
    </row>
    <row r="201" spans="1:14">
      <c r="A201" s="7">
        <v>200</v>
      </c>
      <c r="B201" s="7">
        <v>68.963978879999999</v>
      </c>
      <c r="D201" s="22">
        <f t="shared" si="21"/>
        <v>-0.99242004770007952</v>
      </c>
      <c r="E201" s="11">
        <v>69.108972640000005</v>
      </c>
      <c r="F201" s="28">
        <f t="shared" si="24"/>
        <v>-0.847426287700074</v>
      </c>
      <c r="G201" s="22">
        <f t="shared" si="22"/>
        <v>0.98489755107702814</v>
      </c>
      <c r="H201" s="11">
        <f t="shared" si="23"/>
        <v>0.8410028368616087</v>
      </c>
      <c r="L201" s="24">
        <f t="shared" si="25"/>
        <v>4766.0297295634582</v>
      </c>
      <c r="M201" s="22">
        <f t="shared" si="26"/>
        <v>4776.0500993562691</v>
      </c>
      <c r="N201" s="11">
        <f t="shared" si="27"/>
        <v>0.99790195463105347</v>
      </c>
    </row>
    <row r="202" spans="1:14">
      <c r="A202" s="7">
        <v>201</v>
      </c>
      <c r="B202" s="7">
        <v>71.056867600000004</v>
      </c>
      <c r="D202" s="22">
        <f t="shared" si="21"/>
        <v>1.1004686722999253</v>
      </c>
      <c r="E202" s="11">
        <v>68.963978879999999</v>
      </c>
      <c r="F202" s="28">
        <f t="shared" si="24"/>
        <v>-0.99242004770007952</v>
      </c>
      <c r="G202" s="22">
        <f t="shared" si="22"/>
        <v>1.2110312987135603</v>
      </c>
      <c r="H202" s="11">
        <f t="shared" si="23"/>
        <v>-1.092127172256335</v>
      </c>
      <c r="L202" s="24">
        <f t="shared" si="25"/>
        <v>4900.3643164453561</v>
      </c>
      <c r="M202" s="22">
        <f t="shared" si="26"/>
        <v>4756.0303829610857</v>
      </c>
      <c r="N202" s="11">
        <f t="shared" si="27"/>
        <v>1.0303475633800323</v>
      </c>
    </row>
    <row r="203" spans="1:14">
      <c r="A203" s="7">
        <v>202</v>
      </c>
      <c r="B203" s="7">
        <v>71.730730719999997</v>
      </c>
      <c r="D203" s="22">
        <f t="shared" si="21"/>
        <v>1.7743317922999182</v>
      </c>
      <c r="E203" s="11">
        <v>71.056867600000004</v>
      </c>
      <c r="F203" s="28">
        <f t="shared" si="24"/>
        <v>1.1004686722999253</v>
      </c>
      <c r="G203" s="22">
        <f t="shared" si="22"/>
        <v>3.1482533091662401</v>
      </c>
      <c r="H203" s="11">
        <f t="shared" si="23"/>
        <v>1.9525965516918378</v>
      </c>
      <c r="L203" s="24">
        <f t="shared" si="25"/>
        <v>5096.9610356222929</v>
      </c>
      <c r="M203" s="22">
        <f t="shared" si="26"/>
        <v>5049.0784331239302</v>
      </c>
      <c r="N203" s="11">
        <f t="shared" si="27"/>
        <v>1.0094834340825911</v>
      </c>
    </row>
    <row r="204" spans="1:14">
      <c r="A204" s="7">
        <v>203</v>
      </c>
      <c r="B204" s="7">
        <v>70.663908640000002</v>
      </c>
      <c r="D204" s="22">
        <f t="shared" si="21"/>
        <v>0.70750971229992388</v>
      </c>
      <c r="E204" s="11">
        <v>71.730730719999997</v>
      </c>
      <c r="F204" s="28">
        <f t="shared" si="24"/>
        <v>1.7743317922999182</v>
      </c>
      <c r="G204" s="22">
        <f t="shared" si="22"/>
        <v>0.50056999299872107</v>
      </c>
      <c r="H204" s="11">
        <f t="shared" si="23"/>
        <v>1.2553569758947234</v>
      </c>
      <c r="L204" s="24">
        <f t="shared" si="25"/>
        <v>5068.7738022785215</v>
      </c>
      <c r="M204" s="22">
        <f t="shared" si="26"/>
        <v>5145.2977296251511</v>
      </c>
      <c r="N204" s="11">
        <f t="shared" si="27"/>
        <v>0.98512740537714139</v>
      </c>
    </row>
    <row r="205" spans="1:14">
      <c r="A205" s="7">
        <v>204</v>
      </c>
      <c r="B205" s="7">
        <v>69.487908910000002</v>
      </c>
      <c r="D205" s="22">
        <f t="shared" si="21"/>
        <v>-0.46849001770007703</v>
      </c>
      <c r="E205" s="11">
        <v>70.663908640000002</v>
      </c>
      <c r="F205" s="28">
        <f t="shared" si="24"/>
        <v>0.70750971229992388</v>
      </c>
      <c r="G205" s="22">
        <f t="shared" si="22"/>
        <v>0.21948289668461848</v>
      </c>
      <c r="H205" s="11">
        <f t="shared" si="23"/>
        <v>-0.33146123763836777</v>
      </c>
      <c r="L205" s="24">
        <f t="shared" si="25"/>
        <v>4910.2872468008827</v>
      </c>
      <c r="M205" s="22">
        <f t="shared" si="26"/>
        <v>4993.3879842822671</v>
      </c>
      <c r="N205" s="11">
        <f t="shared" si="27"/>
        <v>0.98335784486545785</v>
      </c>
    </row>
    <row r="206" spans="1:14">
      <c r="A206" s="7">
        <v>205</v>
      </c>
      <c r="B206" s="7">
        <v>70.434490370000006</v>
      </c>
      <c r="D206" s="22">
        <f t="shared" si="21"/>
        <v>0.47809144229992739</v>
      </c>
      <c r="E206" s="11">
        <v>69.487908910000002</v>
      </c>
      <c r="F206" s="28">
        <f t="shared" si="24"/>
        <v>-0.46849001770007703</v>
      </c>
      <c r="G206" s="22">
        <f t="shared" si="22"/>
        <v>0.22857142720042481</v>
      </c>
      <c r="H206" s="11">
        <f t="shared" si="23"/>
        <v>-0.22398106826534833</v>
      </c>
      <c r="L206" s="24">
        <f t="shared" si="25"/>
        <v>4894.3454509528328</v>
      </c>
      <c r="M206" s="22">
        <f t="shared" si="26"/>
        <v>4828.5694846844572</v>
      </c>
      <c r="N206" s="11">
        <f t="shared" si="27"/>
        <v>1.0136222470189169</v>
      </c>
    </row>
    <row r="207" spans="1:14">
      <c r="A207" s="7">
        <v>206</v>
      </c>
      <c r="B207" s="7">
        <v>70.819525630000001</v>
      </c>
      <c r="D207" s="22">
        <f t="shared" si="21"/>
        <v>0.8631267022999225</v>
      </c>
      <c r="E207" s="11">
        <v>70.434490370000006</v>
      </c>
      <c r="F207" s="28">
        <f t="shared" si="24"/>
        <v>0.47809144229992739</v>
      </c>
      <c r="G207" s="22">
        <f t="shared" si="22"/>
        <v>0.74498770422313909</v>
      </c>
      <c r="H207" s="11">
        <f t="shared" si="23"/>
        <v>0.41265348999015</v>
      </c>
      <c r="L207" s="24">
        <f t="shared" si="25"/>
        <v>4988.1371959942035</v>
      </c>
      <c r="M207" s="22">
        <f t="shared" si="26"/>
        <v>4961.0174336816235</v>
      </c>
      <c r="N207" s="11">
        <f t="shared" si="27"/>
        <v>1.0054665726688354</v>
      </c>
    </row>
    <row r="208" spans="1:14">
      <c r="A208" s="7">
        <v>207</v>
      </c>
      <c r="B208" s="7">
        <v>70.859420670000006</v>
      </c>
      <c r="D208" s="22">
        <f t="shared" si="21"/>
        <v>0.90302174229992715</v>
      </c>
      <c r="E208" s="11">
        <v>70.819525630000001</v>
      </c>
      <c r="F208" s="28">
        <f t="shared" si="24"/>
        <v>0.8631267022999225</v>
      </c>
      <c r="G208" s="22">
        <f t="shared" si="22"/>
        <v>0.81544826706639606</v>
      </c>
      <c r="H208" s="11">
        <f t="shared" si="23"/>
        <v>0.77942217853646656</v>
      </c>
      <c r="L208" s="24">
        <f t="shared" si="25"/>
        <v>5018.2305582660174</v>
      </c>
      <c r="M208" s="22">
        <f t="shared" si="26"/>
        <v>5015.405210458227</v>
      </c>
      <c r="N208" s="11">
        <f t="shared" si="27"/>
        <v>1.0005633339060818</v>
      </c>
    </row>
    <row r="209" spans="1:14">
      <c r="A209" s="7">
        <v>208</v>
      </c>
      <c r="B209" s="7">
        <v>70.243602480000007</v>
      </c>
      <c r="D209" s="22">
        <f t="shared" si="21"/>
        <v>0.28720355229992833</v>
      </c>
      <c r="E209" s="11">
        <v>70.859420670000006</v>
      </c>
      <c r="F209" s="28">
        <f t="shared" si="24"/>
        <v>0.90302174229992715</v>
      </c>
      <c r="G209" s="22">
        <f t="shared" si="22"/>
        <v>8.2485880453697674E-2</v>
      </c>
      <c r="H209" s="11">
        <f t="shared" si="23"/>
        <v>0.25935105219260951</v>
      </c>
      <c r="L209" s="24">
        <f t="shared" si="25"/>
        <v>4977.4209775065765</v>
      </c>
      <c r="M209" s="22">
        <f t="shared" si="26"/>
        <v>5021.0574976880243</v>
      </c>
      <c r="N209" s="11">
        <f t="shared" si="27"/>
        <v>0.9913092968559829</v>
      </c>
    </row>
    <row r="210" spans="1:14">
      <c r="A210" s="7">
        <v>209</v>
      </c>
      <c r="B210" s="7">
        <v>68.200105260000001</v>
      </c>
      <c r="D210" s="22">
        <f t="shared" si="21"/>
        <v>-1.7562936677000778</v>
      </c>
      <c r="E210" s="11">
        <v>70.243602480000007</v>
      </c>
      <c r="F210" s="28">
        <f t="shared" si="24"/>
        <v>0.28720355229992833</v>
      </c>
      <c r="G210" s="22">
        <f t="shared" si="22"/>
        <v>3.084567447203391</v>
      </c>
      <c r="H210" s="11">
        <f t="shared" si="23"/>
        <v>-0.50441378024533223</v>
      </c>
      <c r="L210" s="24">
        <f t="shared" si="25"/>
        <v>4790.6210829775973</v>
      </c>
      <c r="M210" s="22">
        <f t="shared" si="26"/>
        <v>4934.1636893682635</v>
      </c>
      <c r="N210" s="11">
        <f t="shared" si="27"/>
        <v>0.97090842229252339</v>
      </c>
    </row>
    <row r="211" spans="1:14">
      <c r="A211" s="7">
        <v>210</v>
      </c>
      <c r="B211" s="7">
        <v>68.734516429999999</v>
      </c>
      <c r="D211" s="22">
        <f t="shared" si="21"/>
        <v>-1.2218824977000793</v>
      </c>
      <c r="E211" s="11">
        <v>68.200105260000001</v>
      </c>
      <c r="F211" s="28">
        <f t="shared" si="24"/>
        <v>-1.7562936677000778</v>
      </c>
      <c r="G211" s="22">
        <f t="shared" si="22"/>
        <v>1.4929968381857843</v>
      </c>
      <c r="H211" s="11">
        <f t="shared" si="23"/>
        <v>2.1459844933842041</v>
      </c>
      <c r="L211" s="24">
        <f t="shared" si="25"/>
        <v>4687.7012555211995</v>
      </c>
      <c r="M211" s="22">
        <f t="shared" si="26"/>
        <v>4651.2543574750798</v>
      </c>
      <c r="N211" s="11">
        <f t="shared" si="27"/>
        <v>1.0078359288151046</v>
      </c>
    </row>
    <row r="212" spans="1:14">
      <c r="A212" s="7">
        <v>211</v>
      </c>
      <c r="B212" s="7">
        <v>69.24818836</v>
      </c>
      <c r="D212" s="22">
        <f t="shared" si="21"/>
        <v>-0.70821056770007829</v>
      </c>
      <c r="E212" s="11">
        <v>68.734516429999999</v>
      </c>
      <c r="F212" s="28">
        <f t="shared" si="24"/>
        <v>-1.2218824977000793</v>
      </c>
      <c r="G212" s="22">
        <f t="shared" si="22"/>
        <v>0.50156220820206721</v>
      </c>
      <c r="H212" s="11">
        <f t="shared" si="23"/>
        <v>0.86535009735896273</v>
      </c>
      <c r="L212" s="24">
        <f t="shared" si="25"/>
        <v>4759.7407405781551</v>
      </c>
      <c r="M212" s="22">
        <f t="shared" si="26"/>
        <v>4724.4337488659403</v>
      </c>
      <c r="N212" s="11">
        <f t="shared" si="27"/>
        <v>1.0074732748068886</v>
      </c>
    </row>
    <row r="213" spans="1:14">
      <c r="A213" s="7">
        <v>212</v>
      </c>
      <c r="B213" s="7">
        <v>70.573613359999996</v>
      </c>
      <c r="D213" s="22">
        <f t="shared" si="21"/>
        <v>0.61721443229991735</v>
      </c>
      <c r="E213" s="11">
        <v>69.24818836</v>
      </c>
      <c r="F213" s="28">
        <f t="shared" si="24"/>
        <v>-0.70821056770007829</v>
      </c>
      <c r="G213" s="22">
        <f t="shared" si="22"/>
        <v>0.38095365543930926</v>
      </c>
      <c r="H213" s="11">
        <f t="shared" si="23"/>
        <v>-0.43711778349180602</v>
      </c>
      <c r="L213" s="24">
        <f t="shared" si="25"/>
        <v>4887.0948711990923</v>
      </c>
      <c r="M213" s="22">
        <f t="shared" si="26"/>
        <v>4795.3115911420391</v>
      </c>
      <c r="N213" s="11">
        <f t="shared" si="27"/>
        <v>1.019140211915863</v>
      </c>
    </row>
    <row r="214" spans="1:14">
      <c r="A214" s="7">
        <v>213</v>
      </c>
      <c r="B214" s="7">
        <v>71.581553940000006</v>
      </c>
      <c r="D214" s="22">
        <f t="shared" si="21"/>
        <v>1.6251550122999276</v>
      </c>
      <c r="E214" s="11">
        <v>70.573613359999996</v>
      </c>
      <c r="F214" s="28">
        <f t="shared" si="24"/>
        <v>0.61721443229991735</v>
      </c>
      <c r="G214" s="22">
        <f t="shared" si="22"/>
        <v>2.641128814003578</v>
      </c>
      <c r="H214" s="11">
        <f t="shared" si="23"/>
        <v>1.0030691283160651</v>
      </c>
      <c r="L214" s="24">
        <f t="shared" si="25"/>
        <v>5051.7689114695449</v>
      </c>
      <c r="M214" s="22">
        <f t="shared" si="26"/>
        <v>4980.6349026867701</v>
      </c>
      <c r="N214" s="11">
        <f t="shared" si="27"/>
        <v>1.014282116672395</v>
      </c>
    </row>
    <row r="215" spans="1:14">
      <c r="A215" s="7">
        <v>214</v>
      </c>
      <c r="B215" s="7">
        <v>70.118897309999994</v>
      </c>
      <c r="D215" s="22">
        <f t="shared" si="21"/>
        <v>0.16249838229991553</v>
      </c>
      <c r="E215" s="11">
        <v>71.581553940000006</v>
      </c>
      <c r="F215" s="28">
        <f t="shared" si="24"/>
        <v>1.6251550122999276</v>
      </c>
      <c r="G215" s="22">
        <f t="shared" si="22"/>
        <v>2.6405724250089503E-2</v>
      </c>
      <c r="H215" s="11">
        <f t="shared" si="23"/>
        <v>0.26408506048533759</v>
      </c>
      <c r="L215" s="24">
        <f t="shared" si="25"/>
        <v>5019.2196300090864</v>
      </c>
      <c r="M215" s="22">
        <f t="shared" si="26"/>
        <v>5123.9188644651304</v>
      </c>
      <c r="N215" s="11">
        <f t="shared" si="27"/>
        <v>0.97956657058289054</v>
      </c>
    </row>
    <row r="216" spans="1:14">
      <c r="A216" s="7">
        <v>215</v>
      </c>
      <c r="B216" s="7">
        <v>70.065257439999996</v>
      </c>
      <c r="D216" s="22">
        <f t="shared" si="21"/>
        <v>0.10885851229991772</v>
      </c>
      <c r="E216" s="11">
        <v>70.118897309999994</v>
      </c>
      <c r="F216" s="28">
        <f t="shared" si="24"/>
        <v>0.16249838229991553</v>
      </c>
      <c r="G216" s="22">
        <f t="shared" si="22"/>
        <v>1.1850175700151337E-2</v>
      </c>
      <c r="H216" s="11">
        <f t="shared" si="23"/>
        <v>1.7689332148312087E-2</v>
      </c>
      <c r="L216" s="24">
        <f t="shared" si="25"/>
        <v>4912.8985914340728</v>
      </c>
      <c r="M216" s="22">
        <f t="shared" si="26"/>
        <v>4916.6597599703246</v>
      </c>
      <c r="N216" s="11">
        <f t="shared" si="27"/>
        <v>0.99923501549428462</v>
      </c>
    </row>
    <row r="217" spans="1:14">
      <c r="A217" s="7">
        <v>216</v>
      </c>
      <c r="B217" s="7">
        <v>71.739364269999996</v>
      </c>
      <c r="D217" s="22">
        <f t="shared" si="21"/>
        <v>1.7829653422999172</v>
      </c>
      <c r="E217" s="11">
        <v>70.065257439999996</v>
      </c>
      <c r="F217" s="28">
        <f t="shared" si="24"/>
        <v>0.10885851229991772</v>
      </c>
      <c r="G217" s="22">
        <f t="shared" si="22"/>
        <v>3.1789654118426611</v>
      </c>
      <c r="H217" s="11">
        <f t="shared" si="23"/>
        <v>0.19409095464508255</v>
      </c>
      <c r="L217" s="24">
        <f t="shared" si="25"/>
        <v>5026.4370261594868</v>
      </c>
      <c r="M217" s="22">
        <f t="shared" si="26"/>
        <v>4909.1403001334747</v>
      </c>
      <c r="N217" s="11">
        <f t="shared" si="27"/>
        <v>1.0238935371276356</v>
      </c>
    </row>
    <row r="218" spans="1:14">
      <c r="A218" s="7">
        <v>217</v>
      </c>
      <c r="B218" s="7">
        <v>70.356328610000006</v>
      </c>
      <c r="D218" s="22">
        <f t="shared" si="21"/>
        <v>0.39992968229992698</v>
      </c>
      <c r="E218" s="11">
        <v>71.739364269999996</v>
      </c>
      <c r="F218" s="28">
        <f t="shared" si="24"/>
        <v>1.7829653422999172</v>
      </c>
      <c r="G218" s="22">
        <f t="shared" si="22"/>
        <v>0.15994375078452053</v>
      </c>
      <c r="H218" s="11">
        <f t="shared" si="23"/>
        <v>0.71306076289778642</v>
      </c>
      <c r="L218" s="24">
        <f t="shared" si="25"/>
        <v>5047.3182868526128</v>
      </c>
      <c r="M218" s="22">
        <f t="shared" si="26"/>
        <v>5146.536385863752</v>
      </c>
      <c r="N218" s="11">
        <f t="shared" si="27"/>
        <v>0.98072138394208841</v>
      </c>
    </row>
    <row r="219" spans="1:14">
      <c r="A219" s="7">
        <v>218</v>
      </c>
      <c r="B219" s="7">
        <v>71.373909620000006</v>
      </c>
      <c r="D219" s="22">
        <f t="shared" si="21"/>
        <v>1.4175106922999277</v>
      </c>
      <c r="E219" s="11">
        <v>70.356328610000006</v>
      </c>
      <c r="F219" s="28">
        <f t="shared" si="24"/>
        <v>0.39992968229992698</v>
      </c>
      <c r="G219" s="22">
        <f t="shared" si="22"/>
        <v>2.00933656278462</v>
      </c>
      <c r="H219" s="11">
        <f t="shared" si="23"/>
        <v>0.56690460082825966</v>
      </c>
      <c r="L219" s="24">
        <f t="shared" si="25"/>
        <v>5021.6062394051614</v>
      </c>
      <c r="M219" s="22">
        <f t="shared" si="26"/>
        <v>4950.0129754783056</v>
      </c>
      <c r="N219" s="11">
        <f t="shared" si="27"/>
        <v>1.0144632477291513</v>
      </c>
    </row>
    <row r="220" spans="1:14">
      <c r="A220" s="7">
        <v>219</v>
      </c>
      <c r="B220" s="7">
        <v>69.864861349999998</v>
      </c>
      <c r="D220" s="22">
        <f t="shared" si="21"/>
        <v>-9.1537577700080419E-2</v>
      </c>
      <c r="E220" s="11">
        <v>71.373909620000006</v>
      </c>
      <c r="F220" s="28">
        <f t="shared" si="24"/>
        <v>1.4175106922999277</v>
      </c>
      <c r="G220" s="22">
        <f t="shared" si="22"/>
        <v>8.3791281311982602E-3</v>
      </c>
      <c r="H220" s="11">
        <f t="shared" si="23"/>
        <v>-0.12975549513709941</v>
      </c>
      <c r="L220" s="24">
        <f t="shared" si="25"/>
        <v>4986.5282996087317</v>
      </c>
      <c r="M220" s="22">
        <f t="shared" si="26"/>
        <v>5094.2349744439298</v>
      </c>
      <c r="N220" s="11">
        <f t="shared" si="27"/>
        <v>0.97885714432578663</v>
      </c>
    </row>
    <row r="221" spans="1:14">
      <c r="A221" s="7">
        <v>220</v>
      </c>
      <c r="B221" s="7">
        <v>69.529703679999997</v>
      </c>
      <c r="D221" s="22">
        <f t="shared" si="21"/>
        <v>-0.42669524770008138</v>
      </c>
      <c r="E221" s="11">
        <v>69.864861349999998</v>
      </c>
      <c r="F221" s="28">
        <f t="shared" si="24"/>
        <v>-9.1537577700080419E-2</v>
      </c>
      <c r="G221" s="22">
        <f t="shared" si="22"/>
        <v>0.18206883440983382</v>
      </c>
      <c r="H221" s="11">
        <f t="shared" si="23"/>
        <v>3.9058649390601261E-2</v>
      </c>
      <c r="L221" s="24">
        <f t="shared" si="25"/>
        <v>4857.6831073097846</v>
      </c>
      <c r="M221" s="22">
        <f t="shared" si="26"/>
        <v>4881.0988514547234</v>
      </c>
      <c r="N221" s="11">
        <f t="shared" si="27"/>
        <v>0.99520277198689389</v>
      </c>
    </row>
    <row r="222" spans="1:14">
      <c r="A222" s="7">
        <v>221</v>
      </c>
      <c r="B222" s="7">
        <v>69.747218189999998</v>
      </c>
      <c r="D222" s="22">
        <f t="shared" si="21"/>
        <v>-0.2091807377000805</v>
      </c>
      <c r="E222" s="11">
        <v>69.529703679999997</v>
      </c>
      <c r="F222" s="28">
        <f t="shared" si="24"/>
        <v>-0.42669524770008138</v>
      </c>
      <c r="G222" s="22">
        <f t="shared" si="22"/>
        <v>4.3756581024749878E-2</v>
      </c>
      <c r="H222" s="11">
        <f t="shared" si="23"/>
        <v>8.9256426687021606E-2</v>
      </c>
      <c r="L222" s="24">
        <f t="shared" si="25"/>
        <v>4849.5034132550054</v>
      </c>
      <c r="M222" s="22">
        <f t="shared" si="26"/>
        <v>4834.379693828605</v>
      </c>
      <c r="N222" s="11">
        <f t="shared" si="27"/>
        <v>1.0031283681432195</v>
      </c>
    </row>
    <row r="223" spans="1:14">
      <c r="A223" s="7">
        <v>222</v>
      </c>
      <c r="B223" s="7">
        <v>70.000918709999993</v>
      </c>
      <c r="D223" s="22">
        <f t="shared" si="21"/>
        <v>4.4519782299914823E-2</v>
      </c>
      <c r="E223" s="11">
        <v>69.747218189999998</v>
      </c>
      <c r="F223" s="28">
        <f t="shared" si="24"/>
        <v>-0.2091807377000805</v>
      </c>
      <c r="G223" s="22">
        <f t="shared" si="22"/>
        <v>1.9820110160318092E-3</v>
      </c>
      <c r="H223" s="11">
        <f t="shared" si="23"/>
        <v>-9.3126809037431691E-3</v>
      </c>
      <c r="L223" s="24">
        <f t="shared" si="25"/>
        <v>4882.3693507668231</v>
      </c>
      <c r="M223" s="22">
        <f t="shared" si="26"/>
        <v>4864.6744452434668</v>
      </c>
      <c r="N223" s="11">
        <f t="shared" si="27"/>
        <v>1.0036374285108962</v>
      </c>
    </row>
    <row r="224" spans="1:14">
      <c r="A224" s="7">
        <v>223</v>
      </c>
      <c r="B224" s="7">
        <v>69.238707730000002</v>
      </c>
      <c r="D224" s="22">
        <f t="shared" si="21"/>
        <v>-0.71769119770007705</v>
      </c>
      <c r="E224" s="11">
        <v>70.000918709999993</v>
      </c>
      <c r="F224" s="28">
        <f t="shared" si="24"/>
        <v>4.4519782299914823E-2</v>
      </c>
      <c r="G224" s="22">
        <f t="shared" si="22"/>
        <v>0.51508065525617108</v>
      </c>
      <c r="H224" s="11">
        <f t="shared" si="23"/>
        <v>-3.1951455880172563E-2</v>
      </c>
      <c r="L224" s="24">
        <f t="shared" si="25"/>
        <v>4846.7731513931785</v>
      </c>
      <c r="M224" s="22">
        <f t="shared" si="26"/>
        <v>4900.1286202440269</v>
      </c>
      <c r="N224" s="11">
        <f t="shared" si="27"/>
        <v>0.98911141462074692</v>
      </c>
    </row>
    <row r="225" spans="1:14">
      <c r="A225" s="7">
        <v>224</v>
      </c>
      <c r="B225" s="7">
        <v>68.95176592</v>
      </c>
      <c r="D225" s="22">
        <f t="shared" si="21"/>
        <v>-1.0046330077000789</v>
      </c>
      <c r="E225" s="11">
        <v>69.238707730000002</v>
      </c>
      <c r="F225" s="28">
        <f t="shared" si="24"/>
        <v>-0.71769119770007705</v>
      </c>
      <c r="G225" s="22">
        <f t="shared" si="22"/>
        <v>1.0092874801605067</v>
      </c>
      <c r="H225" s="11">
        <f t="shared" si="23"/>
        <v>0.72101626654530038</v>
      </c>
      <c r="L225" s="24">
        <f t="shared" si="25"/>
        <v>4774.1311680022545</v>
      </c>
      <c r="M225" s="22">
        <f t="shared" si="26"/>
        <v>4793.9986481203623</v>
      </c>
      <c r="N225" s="11">
        <f t="shared" si="27"/>
        <v>0.99585576017508948</v>
      </c>
    </row>
    <row r="226" spans="1:14">
      <c r="A226" s="7">
        <v>225</v>
      </c>
      <c r="B226" s="7">
        <v>68.931726949999998</v>
      </c>
      <c r="D226" s="22">
        <f t="shared" si="21"/>
        <v>-1.0246719777000806</v>
      </c>
      <c r="E226" s="11">
        <v>68.95176592</v>
      </c>
      <c r="F226" s="28">
        <f t="shared" si="24"/>
        <v>-1.0046330077000789</v>
      </c>
      <c r="G226" s="22">
        <f t="shared" si="22"/>
        <v>1.0499526618837944</v>
      </c>
      <c r="H226" s="11">
        <f t="shared" si="23"/>
        <v>1.0294192908628201</v>
      </c>
      <c r="L226" s="24">
        <f t="shared" si="25"/>
        <v>4752.964301117755</v>
      </c>
      <c r="M226" s="22">
        <f t="shared" si="26"/>
        <v>4754.3460234864733</v>
      </c>
      <c r="N226" s="11">
        <f t="shared" si="27"/>
        <v>0.99970937698646822</v>
      </c>
    </row>
    <row r="227" spans="1:14">
      <c r="A227" s="7">
        <v>226</v>
      </c>
      <c r="B227" s="7">
        <v>70.000468990000002</v>
      </c>
      <c r="D227" s="22">
        <f t="shared" si="21"/>
        <v>4.4070062299923052E-2</v>
      </c>
      <c r="E227" s="11">
        <v>68.931726949999998</v>
      </c>
      <c r="F227" s="28">
        <f t="shared" si="24"/>
        <v>-1.0246719777000806</v>
      </c>
      <c r="G227" s="22">
        <f t="shared" si="22"/>
        <v>1.9421703911190991E-3</v>
      </c>
      <c r="H227" s="11">
        <f t="shared" si="23"/>
        <v>-4.5157357894227916E-2</v>
      </c>
      <c r="L227" s="24">
        <f t="shared" si="25"/>
        <v>4825.2532147906222</v>
      </c>
      <c r="M227" s="22">
        <f t="shared" si="26"/>
        <v>4751.5829803093557</v>
      </c>
      <c r="N227" s="11">
        <f t="shared" si="27"/>
        <v>1.0155043560822903</v>
      </c>
    </row>
    <row r="228" spans="1:14">
      <c r="A228" s="7">
        <v>227</v>
      </c>
      <c r="B228" s="7">
        <v>70.650798420000001</v>
      </c>
      <c r="D228" s="22">
        <f t="shared" si="21"/>
        <v>0.69439949229992237</v>
      </c>
      <c r="E228" s="11">
        <v>70.000468990000002</v>
      </c>
      <c r="F228" s="28">
        <f t="shared" si="24"/>
        <v>4.4070062299923052E-2</v>
      </c>
      <c r="G228" s="22">
        <f t="shared" si="22"/>
        <v>0.48219065490638996</v>
      </c>
      <c r="H228" s="11">
        <f t="shared" si="23"/>
        <v>3.0602228886692517E-2</v>
      </c>
      <c r="L228" s="24">
        <f t="shared" si="25"/>
        <v>4945.5890239179516</v>
      </c>
      <c r="M228" s="22">
        <f t="shared" si="26"/>
        <v>4900.0656588199518</v>
      </c>
      <c r="N228" s="11">
        <f t="shared" si="27"/>
        <v>1.009290358184499</v>
      </c>
    </row>
    <row r="229" spans="1:14">
      <c r="A229" s="7">
        <v>228</v>
      </c>
      <c r="B229" s="7">
        <v>72.616282690000006</v>
      </c>
      <c r="D229" s="22">
        <f t="shared" si="21"/>
        <v>2.659883762299927</v>
      </c>
      <c r="E229" s="11">
        <v>70.650798420000001</v>
      </c>
      <c r="F229" s="28">
        <f t="shared" si="24"/>
        <v>0.69439949229992237</v>
      </c>
      <c r="G229" s="22">
        <f t="shared" si="22"/>
        <v>7.0749816289468139</v>
      </c>
      <c r="H229" s="11">
        <f t="shared" si="23"/>
        <v>1.8470219341178766</v>
      </c>
      <c r="L229" s="24">
        <f t="shared" si="25"/>
        <v>5130.3983503409254</v>
      </c>
      <c r="M229" s="22">
        <f t="shared" si="26"/>
        <v>4991.5353173834746</v>
      </c>
      <c r="N229" s="11">
        <f t="shared" si="27"/>
        <v>1.0278197035837546</v>
      </c>
    </row>
    <row r="230" spans="1:14">
      <c r="A230" s="7">
        <v>229</v>
      </c>
      <c r="B230" s="7">
        <v>72.745519090000002</v>
      </c>
      <c r="D230" s="22">
        <f t="shared" si="21"/>
        <v>2.7891201622999233</v>
      </c>
      <c r="E230" s="11">
        <v>72.616282690000006</v>
      </c>
      <c r="F230" s="28">
        <f t="shared" si="24"/>
        <v>2.659883762299927</v>
      </c>
      <c r="G230" s="22">
        <f t="shared" si="22"/>
        <v>7.779191279747951</v>
      </c>
      <c r="H230" s="11">
        <f t="shared" si="23"/>
        <v>7.4187354308049027</v>
      </c>
      <c r="L230" s="24">
        <f t="shared" si="25"/>
        <v>5282.5091786702324</v>
      </c>
      <c r="M230" s="22">
        <f t="shared" si="26"/>
        <v>5273.1245117139943</v>
      </c>
      <c r="N230" s="11">
        <f t="shared" si="27"/>
        <v>1.0017797165485833</v>
      </c>
    </row>
    <row r="231" spans="1:14">
      <c r="A231" s="7">
        <v>230</v>
      </c>
      <c r="B231" s="7">
        <v>70.352583409999994</v>
      </c>
      <c r="D231" s="22">
        <f t="shared" si="21"/>
        <v>0.39618448229991543</v>
      </c>
      <c r="E231" s="11">
        <v>72.745519090000002</v>
      </c>
      <c r="F231" s="28">
        <f t="shared" si="24"/>
        <v>2.7891201622999233</v>
      </c>
      <c r="G231" s="22">
        <f t="shared" si="22"/>
        <v>0.15696214401525199</v>
      </c>
      <c r="H231" s="11">
        <f t="shared" si="23"/>
        <v>1.1050061275730512</v>
      </c>
      <c r="L231" s="24">
        <f t="shared" si="25"/>
        <v>5117.8351994829718</v>
      </c>
      <c r="M231" s="22">
        <f t="shared" si="26"/>
        <v>5291.9105476735549</v>
      </c>
      <c r="N231" s="11">
        <f t="shared" si="27"/>
        <v>0.96710538724674577</v>
      </c>
    </row>
    <row r="232" spans="1:14">
      <c r="A232" s="7">
        <v>231</v>
      </c>
      <c r="B232" s="7">
        <v>69.712763929999994</v>
      </c>
      <c r="D232" s="22">
        <f t="shared" si="21"/>
        <v>-0.24363499770008445</v>
      </c>
      <c r="E232" s="11">
        <v>70.352583409999994</v>
      </c>
      <c r="F232" s="28">
        <f t="shared" si="24"/>
        <v>0.39618448229991543</v>
      </c>
      <c r="G232" s="22">
        <f t="shared" si="22"/>
        <v>5.9358012104320158E-2</v>
      </c>
      <c r="H232" s="11">
        <f t="shared" si="23"/>
        <v>-9.6524405433949051E-2</v>
      </c>
      <c r="L232" s="24">
        <f t="shared" si="25"/>
        <v>4904.4730391269632</v>
      </c>
      <c r="M232" s="22">
        <f t="shared" si="26"/>
        <v>4949.4859924610064</v>
      </c>
      <c r="N232" s="11">
        <f t="shared" si="27"/>
        <v>0.99090552970498225</v>
      </c>
    </row>
    <row r="233" spans="1:14">
      <c r="A233" s="7">
        <v>232</v>
      </c>
      <c r="B233" s="7">
        <v>70.719001320000004</v>
      </c>
      <c r="D233" s="22">
        <f t="shared" si="21"/>
        <v>0.76260239229992521</v>
      </c>
      <c r="E233" s="11">
        <v>69.712763929999994</v>
      </c>
      <c r="F233" s="28">
        <f t="shared" si="24"/>
        <v>-0.24363499770008445</v>
      </c>
      <c r="G233" s="22">
        <f t="shared" si="22"/>
        <v>0.58156240874156906</v>
      </c>
      <c r="H233" s="11">
        <f t="shared" si="23"/>
        <v>-0.18579663209407118</v>
      </c>
      <c r="L233" s="24">
        <f t="shared" si="25"/>
        <v>4930.0170443865181</v>
      </c>
      <c r="M233" s="22">
        <f t="shared" si="26"/>
        <v>4859.869454759908</v>
      </c>
      <c r="N233" s="11">
        <f t="shared" si="27"/>
        <v>1.0144340481322818</v>
      </c>
    </row>
    <row r="234" spans="1:14">
      <c r="A234" s="7">
        <v>233</v>
      </c>
      <c r="B234" s="7">
        <v>70.548173439999999</v>
      </c>
      <c r="D234" s="22">
        <f t="shared" si="21"/>
        <v>0.59177451229992073</v>
      </c>
      <c r="E234" s="11">
        <v>70.719001320000004</v>
      </c>
      <c r="F234" s="28">
        <f t="shared" si="24"/>
        <v>0.76260239229992521</v>
      </c>
      <c r="G234" s="22">
        <f t="shared" si="22"/>
        <v>0.35019707340780903</v>
      </c>
      <c r="H234" s="11">
        <f t="shared" si="23"/>
        <v>0.45128865878204105</v>
      </c>
      <c r="L234" s="24">
        <f t="shared" si="25"/>
        <v>4989.0963706269495</v>
      </c>
      <c r="M234" s="22">
        <f t="shared" si="26"/>
        <v>5001.1771476981621</v>
      </c>
      <c r="N234" s="11">
        <f t="shared" si="27"/>
        <v>0.99758441328622549</v>
      </c>
    </row>
    <row r="235" spans="1:14">
      <c r="A235" s="7">
        <v>234</v>
      </c>
      <c r="B235" s="7">
        <v>70.043562089999995</v>
      </c>
      <c r="D235" s="22">
        <f t="shared" si="21"/>
        <v>8.7163162299916053E-2</v>
      </c>
      <c r="E235" s="11">
        <v>70.548173439999999</v>
      </c>
      <c r="F235" s="28">
        <f t="shared" si="24"/>
        <v>0.59177451229992073</v>
      </c>
      <c r="G235" s="22">
        <f t="shared" si="22"/>
        <v>7.5974168621215071E-3</v>
      </c>
      <c r="H235" s="11">
        <f t="shared" si="23"/>
        <v>5.1580937860551658E-2</v>
      </c>
      <c r="L235" s="24">
        <f t="shared" si="25"/>
        <v>4941.4453666807285</v>
      </c>
      <c r="M235" s="22">
        <f t="shared" si="26"/>
        <v>4977.044775720321</v>
      </c>
      <c r="N235" s="11">
        <f t="shared" si="27"/>
        <v>0.99284727973249143</v>
      </c>
    </row>
    <row r="236" spans="1:14">
      <c r="A236" s="7">
        <v>235</v>
      </c>
      <c r="B236" s="7">
        <v>69.913260159999993</v>
      </c>
      <c r="D236" s="22">
        <f t="shared" si="21"/>
        <v>-4.3138767700085623E-2</v>
      </c>
      <c r="E236" s="11">
        <v>70.043562089999995</v>
      </c>
      <c r="F236" s="28">
        <f t="shared" si="24"/>
        <v>8.7163162299916053E-2</v>
      </c>
      <c r="G236" s="22">
        <f t="shared" si="22"/>
        <v>1.8609532786819506E-3</v>
      </c>
      <c r="H236" s="11">
        <f t="shared" si="23"/>
        <v>-3.7601114104609396E-3</v>
      </c>
      <c r="L236" s="24">
        <f t="shared" si="25"/>
        <v>4896.9737789312821</v>
      </c>
      <c r="M236" s="22">
        <f t="shared" si="26"/>
        <v>4906.1005902556844</v>
      </c>
      <c r="N236" s="11">
        <f t="shared" si="27"/>
        <v>0.99813970154983578</v>
      </c>
    </row>
    <row r="237" spans="1:14">
      <c r="A237" s="7">
        <v>236</v>
      </c>
      <c r="B237" s="7">
        <v>70.802164099999999</v>
      </c>
      <c r="D237" s="22">
        <f t="shared" si="21"/>
        <v>0.84576517229992021</v>
      </c>
      <c r="E237" s="11">
        <v>69.913260159999993</v>
      </c>
      <c r="F237" s="28">
        <f t="shared" si="24"/>
        <v>-4.3138767700085623E-2</v>
      </c>
      <c r="G237" s="22">
        <f t="shared" si="22"/>
        <v>0.71531872667551377</v>
      </c>
      <c r="H237" s="11">
        <f t="shared" si="23"/>
        <v>-3.6485267296669149E-2</v>
      </c>
      <c r="L237" s="24">
        <f t="shared" si="25"/>
        <v>4950.010118614312</v>
      </c>
      <c r="M237" s="22">
        <f t="shared" si="26"/>
        <v>4887.8639461998418</v>
      </c>
      <c r="N237" s="11">
        <f t="shared" si="27"/>
        <v>1.0127143826216332</v>
      </c>
    </row>
    <row r="238" spans="1:14">
      <c r="A238" s="7">
        <v>237</v>
      </c>
      <c r="B238" s="7">
        <v>69.658999890000004</v>
      </c>
      <c r="D238" s="22">
        <f t="shared" si="21"/>
        <v>-0.29739903770007459</v>
      </c>
      <c r="E238" s="11">
        <v>70.802164099999999</v>
      </c>
      <c r="F238" s="28">
        <f t="shared" si="24"/>
        <v>0.84576517229992021</v>
      </c>
      <c r="G238" s="22">
        <f t="shared" si="22"/>
        <v>8.8446187624930381E-2</v>
      </c>
      <c r="H238" s="11">
        <f t="shared" si="23"/>
        <v>-0.25152974836223407</v>
      </c>
      <c r="L238" s="24">
        <f t="shared" si="25"/>
        <v>4932.0079412536625</v>
      </c>
      <c r="M238" s="22">
        <f t="shared" si="26"/>
        <v>5012.946441243329</v>
      </c>
      <c r="N238" s="11">
        <f t="shared" si="27"/>
        <v>0.98385410637469495</v>
      </c>
    </row>
    <row r="239" spans="1:14">
      <c r="A239" s="7">
        <v>238</v>
      </c>
      <c r="B239" s="7">
        <v>69.229081230000006</v>
      </c>
      <c r="D239" s="22">
        <f t="shared" si="21"/>
        <v>-0.72731769770007304</v>
      </c>
      <c r="E239" s="11">
        <v>69.658999890000004</v>
      </c>
      <c r="F239" s="28">
        <f t="shared" si="24"/>
        <v>-0.29739903770007459</v>
      </c>
      <c r="G239" s="22">
        <f t="shared" si="22"/>
        <v>0.52899103338773479</v>
      </c>
      <c r="H239" s="11">
        <f t="shared" si="23"/>
        <v>0.21630358339823547</v>
      </c>
      <c r="L239" s="24">
        <f t="shared" si="25"/>
        <v>4822.428561785372</v>
      </c>
      <c r="M239" s="22">
        <f t="shared" si="26"/>
        <v>4852.3762656750205</v>
      </c>
      <c r="N239" s="11">
        <f t="shared" si="27"/>
        <v>0.99382823955728783</v>
      </c>
    </row>
    <row r="240" spans="1:14">
      <c r="A240" s="7">
        <v>239</v>
      </c>
      <c r="B240" s="7">
        <v>70.110181920000002</v>
      </c>
      <c r="D240" s="22">
        <f t="shared" si="21"/>
        <v>0.15378299229992365</v>
      </c>
      <c r="E240" s="11">
        <v>69.229081230000006</v>
      </c>
      <c r="F240" s="28">
        <f t="shared" si="24"/>
        <v>-0.72731769770007304</v>
      </c>
      <c r="G240" s="22">
        <f t="shared" si="22"/>
        <v>2.3649208720718375E-2</v>
      </c>
      <c r="H240" s="11">
        <f t="shared" si="23"/>
        <v>-0.11184909190500852</v>
      </c>
      <c r="L240" s="24">
        <f t="shared" si="25"/>
        <v>4853.6634791897577</v>
      </c>
      <c r="M240" s="22">
        <f t="shared" si="26"/>
        <v>4792.6656879499387</v>
      </c>
      <c r="N240" s="11">
        <f t="shared" si="27"/>
        <v>1.0127273202871596</v>
      </c>
    </row>
    <row r="241" spans="1:14">
      <c r="A241" s="7">
        <v>240</v>
      </c>
      <c r="B241" s="7">
        <v>70.608831850000001</v>
      </c>
      <c r="D241" s="22">
        <f t="shared" si="21"/>
        <v>0.65243292229992278</v>
      </c>
      <c r="E241" s="11">
        <v>70.110181920000002</v>
      </c>
      <c r="F241" s="28">
        <f t="shared" si="24"/>
        <v>0.15378299229992365</v>
      </c>
      <c r="G241" s="22">
        <f t="shared" si="22"/>
        <v>0.42566871810081708</v>
      </c>
      <c r="H241" s="11">
        <f t="shared" si="23"/>
        <v>0.1003330870662657</v>
      </c>
      <c r="L241" s="24">
        <f t="shared" si="25"/>
        <v>4950.3980461621904</v>
      </c>
      <c r="M241" s="22">
        <f t="shared" si="26"/>
        <v>4915.4376088554955</v>
      </c>
      <c r="N241" s="11">
        <f t="shared" si="27"/>
        <v>1.0071123753546809</v>
      </c>
    </row>
    <row r="242" spans="1:14">
      <c r="A242" s="7">
        <v>241</v>
      </c>
      <c r="B242" s="7">
        <v>70.571827299999995</v>
      </c>
      <c r="D242" s="22">
        <f t="shared" si="21"/>
        <v>0.61542837229991676</v>
      </c>
      <c r="E242" s="11">
        <v>70.608831850000001</v>
      </c>
      <c r="F242" s="28">
        <f t="shared" si="24"/>
        <v>0.65243292229992278</v>
      </c>
      <c r="G242" s="22">
        <f t="shared" si="22"/>
        <v>0.37875208143172495</v>
      </c>
      <c r="H242" s="11">
        <f t="shared" si="23"/>
        <v>0.40152573140591952</v>
      </c>
      <c r="L242" s="24">
        <f t="shared" si="25"/>
        <v>4982.994287172939</v>
      </c>
      <c r="M242" s="22">
        <f t="shared" si="26"/>
        <v>4985.6071352215749</v>
      </c>
      <c r="N242" s="11">
        <f t="shared" si="27"/>
        <v>0.99947592179291922</v>
      </c>
    </row>
    <row r="243" spans="1:14">
      <c r="A243" s="7">
        <v>242</v>
      </c>
      <c r="B243" s="7">
        <v>69.790645659999996</v>
      </c>
      <c r="D243" s="22">
        <f t="shared" si="21"/>
        <v>-0.16575326770008303</v>
      </c>
      <c r="E243" s="11">
        <v>70.571827299999995</v>
      </c>
      <c r="F243" s="28">
        <f t="shared" si="24"/>
        <v>0.61542837229991676</v>
      </c>
      <c r="G243" s="22">
        <f t="shared" si="22"/>
        <v>2.7474145753255387E-2</v>
      </c>
      <c r="H243" s="11">
        <f t="shared" si="23"/>
        <v>-0.10200926374405446</v>
      </c>
      <c r="L243" s="24">
        <f t="shared" si="25"/>
        <v>4925.2533926730139</v>
      </c>
      <c r="M243" s="22">
        <f t="shared" si="26"/>
        <v>4980.382808461025</v>
      </c>
      <c r="N243" s="11">
        <f t="shared" si="27"/>
        <v>0.98893068707603093</v>
      </c>
    </row>
    <row r="244" spans="1:14">
      <c r="A244" s="7">
        <v>243</v>
      </c>
      <c r="B244" s="7">
        <v>70.675374989999995</v>
      </c>
      <c r="D244" s="22">
        <f t="shared" si="21"/>
        <v>0.71897606229991595</v>
      </c>
      <c r="E244" s="11">
        <v>69.790645659999996</v>
      </c>
      <c r="F244" s="28">
        <f t="shared" si="24"/>
        <v>-0.16575326770008303</v>
      </c>
      <c r="G244" s="22">
        <f t="shared" si="22"/>
        <v>0.51692657816029264</v>
      </c>
      <c r="H244" s="11">
        <f t="shared" si="23"/>
        <v>-0.11917263172434954</v>
      </c>
      <c r="L244" s="24">
        <f t="shared" si="25"/>
        <v>4932.4800528147152</v>
      </c>
      <c r="M244" s="22">
        <f t="shared" si="26"/>
        <v>4870.7342216396764</v>
      </c>
      <c r="N244" s="11">
        <f t="shared" si="27"/>
        <v>1.0126769042130681</v>
      </c>
    </row>
    <row r="245" spans="1:14">
      <c r="A245" s="7">
        <v>244</v>
      </c>
      <c r="B245" s="7">
        <v>72.601899549999999</v>
      </c>
      <c r="D245" s="22">
        <f t="shared" si="21"/>
        <v>2.6455006222999202</v>
      </c>
      <c r="E245" s="11">
        <v>70.675374989999995</v>
      </c>
      <c r="F245" s="28">
        <f t="shared" si="24"/>
        <v>0.71897606229991595</v>
      </c>
      <c r="G245" s="22">
        <f t="shared" si="22"/>
        <v>6.9986735425892652</v>
      </c>
      <c r="H245" s="11">
        <f t="shared" si="23"/>
        <v>1.9020516202331739</v>
      </c>
      <c r="L245" s="24">
        <f t="shared" si="25"/>
        <v>5131.1664756825621</v>
      </c>
      <c r="M245" s="22">
        <f t="shared" si="26"/>
        <v>4995.0086299771165</v>
      </c>
      <c r="N245" s="11">
        <f t="shared" si="27"/>
        <v>1.0272587808734315</v>
      </c>
    </row>
    <row r="246" spans="1:14">
      <c r="A246" s="7">
        <v>245</v>
      </c>
      <c r="B246" s="7">
        <v>71.764942719999993</v>
      </c>
      <c r="D246" s="22">
        <f t="shared" si="21"/>
        <v>1.8085437922999148</v>
      </c>
      <c r="E246" s="11">
        <v>72.601899549999999</v>
      </c>
      <c r="F246" s="28">
        <f t="shared" si="24"/>
        <v>2.6455006222999202</v>
      </c>
      <c r="G246" s="22">
        <f t="shared" si="22"/>
        <v>3.2708306486665575</v>
      </c>
      <c r="H246" s="11">
        <f t="shared" si="23"/>
        <v>4.784503727986082</v>
      </c>
      <c r="L246" s="24">
        <f t="shared" si="25"/>
        <v>5210.2711625689435</v>
      </c>
      <c r="M246" s="22">
        <f t="shared" si="26"/>
        <v>5271.0358182682903</v>
      </c>
      <c r="N246" s="11">
        <f t="shared" si="27"/>
        <v>0.98847197063454784</v>
      </c>
    </row>
    <row r="247" spans="1:14">
      <c r="A247" s="7">
        <v>246</v>
      </c>
      <c r="B247" s="7">
        <v>70.085219069999994</v>
      </c>
      <c r="D247" s="22">
        <f t="shared" si="21"/>
        <v>0.12882014229991512</v>
      </c>
      <c r="E247" s="11">
        <v>71.764942719999993</v>
      </c>
      <c r="F247" s="28">
        <f t="shared" si="24"/>
        <v>1.8085437922999148</v>
      </c>
      <c r="G247" s="22">
        <f t="shared" si="22"/>
        <v>1.659462906217038E-2</v>
      </c>
      <c r="H247" s="11">
        <f t="shared" si="23"/>
        <v>0.23297686867970316</v>
      </c>
      <c r="L247" s="24">
        <f t="shared" si="25"/>
        <v>5029.6617320772011</v>
      </c>
      <c r="M247" s="22">
        <f t="shared" si="26"/>
        <v>5150.2070036048799</v>
      </c>
      <c r="N247" s="11">
        <f t="shared" si="27"/>
        <v>0.9765940919572158</v>
      </c>
    </row>
    <row r="248" spans="1:14">
      <c r="A248" s="7">
        <v>247</v>
      </c>
      <c r="B248" s="7">
        <v>70.277388909999999</v>
      </c>
      <c r="D248" s="22">
        <f t="shared" si="21"/>
        <v>0.32098998229992048</v>
      </c>
      <c r="E248" s="11">
        <v>70.085219069999994</v>
      </c>
      <c r="F248" s="28">
        <f t="shared" si="24"/>
        <v>0.12882014229991512</v>
      </c>
      <c r="G248" s="22">
        <f t="shared" si="22"/>
        <v>0.10303456873690327</v>
      </c>
      <c r="H248" s="11">
        <f t="shared" si="23"/>
        <v>4.1349975196722989E-2</v>
      </c>
      <c r="L248" s="24">
        <f t="shared" si="25"/>
        <v>4925.406197424938</v>
      </c>
      <c r="M248" s="22">
        <f t="shared" si="26"/>
        <v>4911.9379320898906</v>
      </c>
      <c r="N248" s="11">
        <f t="shared" si="27"/>
        <v>1.0027419453423991</v>
      </c>
    </row>
    <row r="249" spans="1:14">
      <c r="A249" s="7">
        <v>248</v>
      </c>
      <c r="B249" s="7">
        <v>69.601734989999997</v>
      </c>
      <c r="D249" s="22">
        <f t="shared" si="21"/>
        <v>-0.35466393770008153</v>
      </c>
      <c r="E249" s="11">
        <v>70.277388909999999</v>
      </c>
      <c r="F249" s="28">
        <f t="shared" si="24"/>
        <v>0.32098998229992048</v>
      </c>
      <c r="G249" s="22">
        <f t="shared" si="22"/>
        <v>0.1257865087049273</v>
      </c>
      <c r="H249" s="11">
        <f t="shared" si="23"/>
        <v>-0.11384357108476928</v>
      </c>
      <c r="L249" s="24">
        <f t="shared" si="25"/>
        <v>4891.4281987029844</v>
      </c>
      <c r="M249" s="22">
        <f t="shared" si="26"/>
        <v>4938.9113920073905</v>
      </c>
      <c r="N249" s="11">
        <f t="shared" si="27"/>
        <v>0.9903858989288109</v>
      </c>
    </row>
    <row r="250" spans="1:14">
      <c r="A250" s="7">
        <v>249</v>
      </c>
      <c r="B250" s="7">
        <v>68.928133979999998</v>
      </c>
      <c r="D250" s="22">
        <f t="shared" si="21"/>
        <v>-1.0282649477000803</v>
      </c>
      <c r="E250" s="11">
        <v>69.601734989999997</v>
      </c>
      <c r="F250" s="28">
        <f t="shared" si="24"/>
        <v>-0.35466393770008153</v>
      </c>
      <c r="G250" s="22">
        <f t="shared" si="22"/>
        <v>1.0573288026686487</v>
      </c>
      <c r="H250" s="11">
        <f t="shared" si="23"/>
        <v>0.36468849535027886</v>
      </c>
      <c r="L250" s="24">
        <f t="shared" si="25"/>
        <v>4797.5177146311735</v>
      </c>
      <c r="M250" s="22">
        <f t="shared" si="26"/>
        <v>4844.4015136181897</v>
      </c>
      <c r="N250" s="11">
        <f t="shared" si="27"/>
        <v>0.99032206582067561</v>
      </c>
    </row>
    <row r="251" spans="1:14">
      <c r="A251" s="7">
        <v>250</v>
      </c>
      <c r="B251" s="7">
        <v>69.509168639999999</v>
      </c>
      <c r="D251" s="22">
        <f t="shared" si="21"/>
        <v>-0.44723028770008</v>
      </c>
      <c r="E251" s="11">
        <v>68.928133979999998</v>
      </c>
      <c r="F251" s="28">
        <f t="shared" si="24"/>
        <v>-1.0282649477000803</v>
      </c>
      <c r="G251" s="22">
        <f t="shared" si="22"/>
        <v>0.20001493023629632</v>
      </c>
      <c r="H251" s="11">
        <f t="shared" si="23"/>
        <v>0.4598712283918146</v>
      </c>
      <c r="L251" s="24">
        <f t="shared" si="25"/>
        <v>4791.1372888563337</v>
      </c>
      <c r="M251" s="22">
        <f t="shared" si="26"/>
        <v>4751.0876539648307</v>
      </c>
      <c r="N251" s="11">
        <f t="shared" si="27"/>
        <v>1.0084295718808896</v>
      </c>
    </row>
    <row r="252" spans="1:14">
      <c r="A252" s="7">
        <v>251</v>
      </c>
      <c r="B252" s="7">
        <v>67.444264360000005</v>
      </c>
      <c r="D252" s="22">
        <f t="shared" si="21"/>
        <v>-2.5121345677000733</v>
      </c>
      <c r="E252" s="11">
        <v>69.509168639999999</v>
      </c>
      <c r="F252" s="28">
        <f t="shared" si="24"/>
        <v>-0.44723028770008</v>
      </c>
      <c r="G252" s="22">
        <f t="shared" si="22"/>
        <v>6.3108200862336341</v>
      </c>
      <c r="H252" s="11">
        <f t="shared" si="23"/>
        <v>1.1235026654538198</v>
      </c>
      <c r="L252" s="24">
        <f t="shared" si="25"/>
        <v>4687.9947451999824</v>
      </c>
      <c r="M252" s="22">
        <f t="shared" si="26"/>
        <v>4831.5245250239595</v>
      </c>
      <c r="N252" s="11">
        <f t="shared" si="27"/>
        <v>0.97029306607457089</v>
      </c>
    </row>
    <row r="253" spans="1:14">
      <c r="A253" s="7">
        <v>252</v>
      </c>
      <c r="B253" s="7">
        <v>67.459857659999997</v>
      </c>
      <c r="D253" s="22">
        <f t="shared" si="21"/>
        <v>-2.4965412677000813</v>
      </c>
      <c r="E253" s="11">
        <v>67.444264360000005</v>
      </c>
      <c r="F253" s="28">
        <f t="shared" si="24"/>
        <v>-2.5121345677000733</v>
      </c>
      <c r="G253" s="22">
        <f t="shared" si="22"/>
        <v>6.2327183013295295</v>
      </c>
      <c r="H253" s="11">
        <f t="shared" si="23"/>
        <v>6.271647618279137</v>
      </c>
      <c r="L253" s="24">
        <f t="shared" si="25"/>
        <v>4549.7804737090109</v>
      </c>
      <c r="M253" s="22">
        <f t="shared" si="26"/>
        <v>4548.7287950615673</v>
      </c>
      <c r="N253" s="11">
        <f t="shared" si="27"/>
        <v>1.0002312027590181</v>
      </c>
    </row>
    <row r="254" spans="1:14">
      <c r="A254" s="7">
        <v>253</v>
      </c>
      <c r="B254" s="7">
        <v>68.894673429999997</v>
      </c>
      <c r="D254" s="22">
        <f t="shared" si="21"/>
        <v>-1.0617254977000812</v>
      </c>
      <c r="E254" s="11">
        <v>67.459857659999997</v>
      </c>
      <c r="F254" s="28">
        <f t="shared" si="24"/>
        <v>-2.4965412677000813</v>
      </c>
      <c r="G254" s="22">
        <f t="shared" si="22"/>
        <v>1.1272610324664851</v>
      </c>
      <c r="H254" s="11">
        <f t="shared" si="23"/>
        <v>2.6506415199776603</v>
      </c>
      <c r="L254" s="24">
        <f t="shared" si="25"/>
        <v>4647.6248631199833</v>
      </c>
      <c r="M254" s="22">
        <f t="shared" si="26"/>
        <v>4550.8323955074602</v>
      </c>
      <c r="N254" s="11">
        <f t="shared" si="27"/>
        <v>1.0212691787348784</v>
      </c>
    </row>
    <row r="255" spans="1:14">
      <c r="A255" s="7">
        <v>254</v>
      </c>
      <c r="B255" s="7">
        <v>68.745457900000005</v>
      </c>
      <c r="D255" s="22">
        <f t="shared" si="21"/>
        <v>-1.2109410277000734</v>
      </c>
      <c r="E255" s="11">
        <v>68.894673429999997</v>
      </c>
      <c r="F255" s="28">
        <f t="shared" si="24"/>
        <v>-1.0617254977000812</v>
      </c>
      <c r="G255" s="22">
        <f t="shared" si="22"/>
        <v>1.46637817256731</v>
      </c>
      <c r="H255" s="11">
        <f t="shared" si="23"/>
        <v>1.2856869653203082</v>
      </c>
      <c r="L255" s="24">
        <f t="shared" si="25"/>
        <v>4736.1958718163141</v>
      </c>
      <c r="M255" s="22">
        <f t="shared" si="26"/>
        <v>4746.4760270263478</v>
      </c>
      <c r="N255" s="11">
        <f t="shared" si="27"/>
        <v>0.99783414997747832</v>
      </c>
    </row>
    <row r="256" spans="1:14">
      <c r="A256" s="7">
        <v>255</v>
      </c>
      <c r="B256" s="7">
        <v>68.546229609999997</v>
      </c>
      <c r="D256" s="22">
        <f t="shared" si="21"/>
        <v>-1.4101693177000811</v>
      </c>
      <c r="E256" s="11">
        <v>68.745457900000005</v>
      </c>
      <c r="F256" s="28">
        <f t="shared" si="24"/>
        <v>-1.2109410277000734</v>
      </c>
      <c r="G256" s="22">
        <f t="shared" si="22"/>
        <v>1.9885775045827123</v>
      </c>
      <c r="H256" s="11">
        <f t="shared" si="23"/>
        <v>1.7076318828068475</v>
      </c>
      <c r="L256" s="24">
        <f t="shared" si="25"/>
        <v>4712.2419418579884</v>
      </c>
      <c r="M256" s="22">
        <f t="shared" si="26"/>
        <v>4725.9379818806729</v>
      </c>
      <c r="N256" s="11">
        <f t="shared" si="27"/>
        <v>0.99710194249793471</v>
      </c>
    </row>
    <row r="257" spans="1:14">
      <c r="A257" s="7">
        <v>256</v>
      </c>
      <c r="B257" s="7">
        <v>69.067352060000005</v>
      </c>
      <c r="D257" s="22">
        <f t="shared" si="21"/>
        <v>-0.88904686770007402</v>
      </c>
      <c r="E257" s="11">
        <v>68.546229609999997</v>
      </c>
      <c r="F257" s="28">
        <f t="shared" si="24"/>
        <v>-1.4101693177000811</v>
      </c>
      <c r="G257" s="22">
        <f t="shared" si="22"/>
        <v>0.79040433296731294</v>
      </c>
      <c r="H257" s="11">
        <f t="shared" si="23"/>
        <v>1.2537066148280076</v>
      </c>
      <c r="L257" s="24">
        <f t="shared" si="25"/>
        <v>4734.3065728594665</v>
      </c>
      <c r="M257" s="22">
        <f t="shared" si="26"/>
        <v>4698.5855937468405</v>
      </c>
      <c r="N257" s="11">
        <f t="shared" si="27"/>
        <v>1.0076024961980401</v>
      </c>
    </row>
    <row r="258" spans="1:14">
      <c r="A258" s="7">
        <v>257</v>
      </c>
      <c r="B258" s="7">
        <v>68.233577060000002</v>
      </c>
      <c r="D258" s="22">
        <f t="shared" ref="D258:D321" si="28">B258-$C$2</f>
        <v>-1.7228218677000768</v>
      </c>
      <c r="E258" s="11">
        <v>69.067352060000005</v>
      </c>
      <c r="F258" s="28">
        <f t="shared" si="24"/>
        <v>-0.88904686770007402</v>
      </c>
      <c r="G258" s="22">
        <f t="shared" ref="G258:G321" si="29">(B258-$C$2)^2</f>
        <v>2.9681151878255809</v>
      </c>
      <c r="H258" s="11">
        <f t="shared" ref="H258:H321" si="30">D258*F258</f>
        <v>1.5316693850839447</v>
      </c>
      <c r="L258" s="24">
        <f t="shared" si="25"/>
        <v>4712.7124891161602</v>
      </c>
      <c r="M258" s="22">
        <f t="shared" si="26"/>
        <v>4770.2991205799872</v>
      </c>
      <c r="N258" s="11">
        <f t="shared" si="27"/>
        <v>0.98792808794413178</v>
      </c>
    </row>
    <row r="259" spans="1:14">
      <c r="A259" s="7">
        <v>258</v>
      </c>
      <c r="B259" s="7">
        <v>68.813868819999996</v>
      </c>
      <c r="D259" s="22">
        <f t="shared" si="28"/>
        <v>-1.1425301077000825</v>
      </c>
      <c r="E259" s="11">
        <v>68.233577060000002</v>
      </c>
      <c r="F259" s="28">
        <f t="shared" ref="F259:F322" si="31">E259-$C$2</f>
        <v>-1.7228218677000768</v>
      </c>
      <c r="G259" s="22">
        <f t="shared" si="29"/>
        <v>1.305375047001162</v>
      </c>
      <c r="H259" s="11">
        <f t="shared" si="30"/>
        <v>1.968375854051426</v>
      </c>
      <c r="L259" s="24">
        <f t="shared" ref="L259:L322" si="32">B259*E259</f>
        <v>4695.4164209262008</v>
      </c>
      <c r="M259" s="22">
        <f t="shared" ref="M259:M322" si="33">E259^2</f>
        <v>4655.821038402958</v>
      </c>
      <c r="N259" s="11">
        <f t="shared" ref="N259:N322" si="34">L259/M259</f>
        <v>1.0085044897981785</v>
      </c>
    </row>
    <row r="260" spans="1:14">
      <c r="A260" s="7">
        <v>259</v>
      </c>
      <c r="B260" s="7">
        <v>69.282978009999994</v>
      </c>
      <c r="D260" s="22">
        <f t="shared" si="28"/>
        <v>-0.67342091770008494</v>
      </c>
      <c r="E260" s="11">
        <v>68.813868819999996</v>
      </c>
      <c r="F260" s="28">
        <f t="shared" si="31"/>
        <v>-1.1425301077000825</v>
      </c>
      <c r="G260" s="22">
        <f t="shared" si="29"/>
        <v>0.45349573239602459</v>
      </c>
      <c r="H260" s="11">
        <f t="shared" si="30"/>
        <v>0.76940367362736639</v>
      </c>
      <c r="L260" s="24">
        <f t="shared" si="32"/>
        <v>4767.6297602390841</v>
      </c>
      <c r="M260" s="22">
        <f t="shared" si="33"/>
        <v>4735.3485419761673</v>
      </c>
      <c r="N260" s="11">
        <f t="shared" si="34"/>
        <v>1.0068170733319337</v>
      </c>
    </row>
    <row r="261" spans="1:14">
      <c r="A261" s="7">
        <v>260</v>
      </c>
      <c r="B261" s="7">
        <v>69.951031369999995</v>
      </c>
      <c r="D261" s="22">
        <f t="shared" si="28"/>
        <v>-5.3675577000831254E-3</v>
      </c>
      <c r="E261" s="11">
        <v>69.282978009999994</v>
      </c>
      <c r="F261" s="28">
        <f t="shared" si="31"/>
        <v>-0.67342091770008494</v>
      </c>
      <c r="G261" s="22">
        <f t="shared" si="29"/>
        <v>2.8810675663721651E-5</v>
      </c>
      <c r="H261" s="11">
        <f t="shared" si="30"/>
        <v>3.6146256321981356E-3</v>
      </c>
      <c r="L261" s="24">
        <f t="shared" si="32"/>
        <v>4846.415768184529</v>
      </c>
      <c r="M261" s="22">
        <f t="shared" si="33"/>
        <v>4800.1310419341426</v>
      </c>
      <c r="N261" s="11">
        <f t="shared" si="34"/>
        <v>1.0096423880610845</v>
      </c>
    </row>
    <row r="262" spans="1:14">
      <c r="A262" s="7">
        <v>261</v>
      </c>
      <c r="B262" s="7">
        <v>71.339909449999993</v>
      </c>
      <c r="D262" s="22">
        <f t="shared" si="28"/>
        <v>1.3835105222999147</v>
      </c>
      <c r="E262" s="11">
        <v>69.951031369999995</v>
      </c>
      <c r="F262" s="28">
        <f t="shared" si="31"/>
        <v>-5.3675577000831254E-3</v>
      </c>
      <c r="G262" s="22">
        <f t="shared" si="29"/>
        <v>1.9141013653145826</v>
      </c>
      <c r="H262" s="11">
        <f t="shared" si="30"/>
        <v>-7.4260725571169339E-3</v>
      </c>
      <c r="L262" s="24">
        <f t="shared" si="32"/>
        <v>4990.3002438699086</v>
      </c>
      <c r="M262" s="22">
        <f t="shared" si="33"/>
        <v>4893.146789726723</v>
      </c>
      <c r="N262" s="11">
        <f t="shared" si="34"/>
        <v>1.0198550050342168</v>
      </c>
    </row>
    <row r="263" spans="1:14">
      <c r="A263" s="7">
        <v>262</v>
      </c>
      <c r="B263" s="7">
        <v>70.991140669999993</v>
      </c>
      <c r="D263" s="22">
        <f t="shared" si="28"/>
        <v>1.0347417422999143</v>
      </c>
      <c r="E263" s="11">
        <v>71.339909449999993</v>
      </c>
      <c r="F263" s="28">
        <f t="shared" si="31"/>
        <v>1.3835105222999147</v>
      </c>
      <c r="G263" s="22">
        <f t="shared" si="29"/>
        <v>1.0706904732578624</v>
      </c>
      <c r="H263" s="11">
        <f t="shared" si="30"/>
        <v>1.4315760883348783</v>
      </c>
      <c r="L263" s="24">
        <f t="shared" si="32"/>
        <v>5064.501547150011</v>
      </c>
      <c r="M263" s="22">
        <f t="shared" si="33"/>
        <v>5089.3826803341981</v>
      </c>
      <c r="N263" s="11">
        <f t="shared" si="34"/>
        <v>0.99511116873165584</v>
      </c>
    </row>
    <row r="264" spans="1:14">
      <c r="A264" s="7">
        <v>263</v>
      </c>
      <c r="B264" s="7">
        <v>70.213773590000002</v>
      </c>
      <c r="D264" s="22">
        <f t="shared" si="28"/>
        <v>0.25737466229992378</v>
      </c>
      <c r="E264" s="11">
        <v>70.991140669999993</v>
      </c>
      <c r="F264" s="28">
        <f t="shared" si="31"/>
        <v>1.0347417422999143</v>
      </c>
      <c r="G264" s="22">
        <f t="shared" si="29"/>
        <v>6.6241716793999803E-2</v>
      </c>
      <c r="H264" s="11">
        <f t="shared" si="30"/>
        <v>0.26631630649207522</v>
      </c>
      <c r="L264" s="24">
        <f t="shared" si="32"/>
        <v>4984.5558778992208</v>
      </c>
      <c r="M264" s="22">
        <f t="shared" si="33"/>
        <v>5039.7420536277268</v>
      </c>
      <c r="N264" s="11">
        <f t="shared" si="34"/>
        <v>0.98904980152927036</v>
      </c>
    </row>
    <row r="265" spans="1:14">
      <c r="A265" s="7">
        <v>264</v>
      </c>
      <c r="B265" s="7">
        <v>69.930376409999994</v>
      </c>
      <c r="D265" s="22">
        <f t="shared" si="28"/>
        <v>-2.6022517700084791E-2</v>
      </c>
      <c r="E265" s="11">
        <v>70.213773590000002</v>
      </c>
      <c r="F265" s="28">
        <f t="shared" si="31"/>
        <v>0.25737466229992378</v>
      </c>
      <c r="G265" s="22">
        <f t="shared" si="29"/>
        <v>6.7717142745122617E-4</v>
      </c>
      <c r="H265" s="11">
        <f t="shared" si="30"/>
        <v>-6.6975367052531124E-3</v>
      </c>
      <c r="L265" s="24">
        <f t="shared" si="32"/>
        <v>4910.0756163152164</v>
      </c>
      <c r="M265" s="22">
        <f t="shared" si="33"/>
        <v>4929.9740017477816</v>
      </c>
      <c r="N265" s="11">
        <f t="shared" si="34"/>
        <v>0.99596379505743626</v>
      </c>
    </row>
    <row r="266" spans="1:14">
      <c r="A266" s="7">
        <v>265</v>
      </c>
      <c r="B266" s="7">
        <v>70.121486540000006</v>
      </c>
      <c r="D266" s="22">
        <f t="shared" si="28"/>
        <v>0.16508761229992786</v>
      </c>
      <c r="E266" s="11">
        <v>69.930376409999994</v>
      </c>
      <c r="F266" s="28">
        <f t="shared" si="31"/>
        <v>-2.6022517700084791E-2</v>
      </c>
      <c r="G266" s="22">
        <f t="shared" si="29"/>
        <v>2.7253919734891292E-2</v>
      </c>
      <c r="H266" s="11">
        <f t="shared" si="30"/>
        <v>-4.2959953131396084E-3</v>
      </c>
      <c r="L266" s="24">
        <f t="shared" si="32"/>
        <v>4903.6219481709486</v>
      </c>
      <c r="M266" s="22">
        <f t="shared" si="33"/>
        <v>4890.257544844284</v>
      </c>
      <c r="N266" s="11">
        <f t="shared" si="34"/>
        <v>1.0027328628817831</v>
      </c>
    </row>
    <row r="267" spans="1:14">
      <c r="A267" s="7">
        <v>266</v>
      </c>
      <c r="B267" s="7">
        <v>69.077040350000004</v>
      </c>
      <c r="D267" s="22">
        <f t="shared" si="28"/>
        <v>-0.87935857770007431</v>
      </c>
      <c r="E267" s="11">
        <v>70.121486540000006</v>
      </c>
      <c r="F267" s="28">
        <f t="shared" si="31"/>
        <v>0.16508761229992786</v>
      </c>
      <c r="G267" s="22">
        <f t="shared" si="29"/>
        <v>0.77327150817469759</v>
      </c>
      <c r="H267" s="11">
        <f t="shared" si="30"/>
        <v>-0.14517120794796584</v>
      </c>
      <c r="L267" s="24">
        <f t="shared" si="32"/>
        <v>4843.7847551255627</v>
      </c>
      <c r="M267" s="22">
        <f t="shared" si="33"/>
        <v>4917.022874579402</v>
      </c>
      <c r="N267" s="11">
        <f t="shared" si="34"/>
        <v>0.98510519041258193</v>
      </c>
    </row>
    <row r="268" spans="1:14">
      <c r="A268" s="7">
        <v>267</v>
      </c>
      <c r="B268" s="7">
        <v>69.295002920000002</v>
      </c>
      <c r="D268" s="22">
        <f t="shared" si="28"/>
        <v>-0.66139600770007689</v>
      </c>
      <c r="E268" s="11">
        <v>69.077040350000004</v>
      </c>
      <c r="F268" s="28">
        <f t="shared" si="31"/>
        <v>-0.87935857770007431</v>
      </c>
      <c r="G268" s="22">
        <f t="shared" si="29"/>
        <v>0.43744467900160017</v>
      </c>
      <c r="H268" s="11">
        <f t="shared" si="30"/>
        <v>0.58160425262764703</v>
      </c>
      <c r="L268" s="24">
        <f t="shared" si="32"/>
        <v>4786.6937127582087</v>
      </c>
      <c r="M268" s="22">
        <f t="shared" si="33"/>
        <v>4771.6375035155288</v>
      </c>
      <c r="N268" s="11">
        <f t="shared" si="34"/>
        <v>1.0031553547878662</v>
      </c>
    </row>
    <row r="269" spans="1:14">
      <c r="A269" s="7">
        <v>268</v>
      </c>
      <c r="B269" s="7">
        <v>70.162640890000006</v>
      </c>
      <c r="D269" s="22">
        <f t="shared" si="28"/>
        <v>0.2062419622999272</v>
      </c>
      <c r="E269" s="11">
        <v>69.295002920000002</v>
      </c>
      <c r="F269" s="28">
        <f t="shared" si="31"/>
        <v>-0.66139600770007689</v>
      </c>
      <c r="G269" s="22">
        <f t="shared" si="29"/>
        <v>4.253574701332459E-2</v>
      </c>
      <c r="H269" s="11">
        <f t="shared" si="30"/>
        <v>-0.13640761048540162</v>
      </c>
      <c r="L269" s="24">
        <f t="shared" si="32"/>
        <v>4861.9204053474623</v>
      </c>
      <c r="M269" s="22">
        <f t="shared" si="33"/>
        <v>4801.7974296828088</v>
      </c>
      <c r="N269" s="11">
        <f t="shared" si="34"/>
        <v>1.0125209312856467</v>
      </c>
    </row>
    <row r="270" spans="1:14">
      <c r="A270" s="7">
        <v>269</v>
      </c>
      <c r="B270" s="7">
        <v>68.938323670000003</v>
      </c>
      <c r="D270" s="22">
        <f t="shared" si="28"/>
        <v>-1.018075257700076</v>
      </c>
      <c r="E270" s="11">
        <v>70.162640890000006</v>
      </c>
      <c r="F270" s="28">
        <f t="shared" si="31"/>
        <v>0.2062419622999272</v>
      </c>
      <c r="G270" s="22">
        <f t="shared" si="29"/>
        <v>1.0364772303410761</v>
      </c>
      <c r="H270" s="11">
        <f t="shared" si="30"/>
        <v>-0.20996983891706775</v>
      </c>
      <c r="L270" s="24">
        <f t="shared" si="32"/>
        <v>4836.8948472167976</v>
      </c>
      <c r="M270" s="22">
        <f t="shared" si="33"/>
        <v>4922.7961766591006</v>
      </c>
      <c r="N270" s="11">
        <f t="shared" si="34"/>
        <v>0.98255029735953836</v>
      </c>
    </row>
    <row r="271" spans="1:14">
      <c r="A271" s="7">
        <v>270</v>
      </c>
      <c r="B271" s="7">
        <v>70.179854860000006</v>
      </c>
      <c r="D271" s="22">
        <f t="shared" si="28"/>
        <v>0.22345593229992744</v>
      </c>
      <c r="E271" s="11">
        <v>68.938323670000003</v>
      </c>
      <c r="F271" s="28">
        <f t="shared" si="31"/>
        <v>-1.018075257700076</v>
      </c>
      <c r="G271" s="22">
        <f t="shared" si="29"/>
        <v>4.9932553680029752E-2</v>
      </c>
      <c r="H271" s="11">
        <f t="shared" si="30"/>
        <v>-0.22749495586085935</v>
      </c>
      <c r="L271" s="24">
        <f t="shared" si="32"/>
        <v>4838.0815494523031</v>
      </c>
      <c r="M271" s="22">
        <f t="shared" si="33"/>
        <v>4752.4924704296827</v>
      </c>
      <c r="N271" s="11">
        <f t="shared" si="34"/>
        <v>1.0180093034455417</v>
      </c>
    </row>
    <row r="272" spans="1:14">
      <c r="A272" s="7">
        <v>271</v>
      </c>
      <c r="B272" s="7">
        <v>71.507791850000004</v>
      </c>
      <c r="D272" s="22">
        <f t="shared" si="28"/>
        <v>1.5513929222999252</v>
      </c>
      <c r="E272" s="11">
        <v>70.179854860000006</v>
      </c>
      <c r="F272" s="28">
        <f t="shared" si="31"/>
        <v>0.22345593229992744</v>
      </c>
      <c r="G272" s="22">
        <f t="shared" si="29"/>
        <v>2.4068199993623018</v>
      </c>
      <c r="H272" s="11">
        <f t="shared" si="30"/>
        <v>0.34666795181603866</v>
      </c>
      <c r="L272" s="24">
        <f t="shared" si="32"/>
        <v>5018.4064533920919</v>
      </c>
      <c r="M272" s="22">
        <f t="shared" si="33"/>
        <v>4925.2120281706666</v>
      </c>
      <c r="N272" s="11">
        <f t="shared" si="34"/>
        <v>1.0189219113184127</v>
      </c>
    </row>
    <row r="273" spans="1:14">
      <c r="A273" s="7">
        <v>272</v>
      </c>
      <c r="B273" s="7">
        <v>70.219342659999995</v>
      </c>
      <c r="D273" s="22">
        <f t="shared" si="28"/>
        <v>0.26294373229991663</v>
      </c>
      <c r="E273" s="11">
        <v>71.507791850000004</v>
      </c>
      <c r="F273" s="28">
        <f t="shared" si="31"/>
        <v>1.5513929222999252</v>
      </c>
      <c r="G273" s="22">
        <f t="shared" si="29"/>
        <v>6.9139406355810215E-2</v>
      </c>
      <c r="H273" s="11">
        <f t="shared" si="30"/>
        <v>0.40792904525321688</v>
      </c>
      <c r="L273" s="24">
        <f t="shared" si="32"/>
        <v>5021.2301387751049</v>
      </c>
      <c r="M273" s="22">
        <f t="shared" si="33"/>
        <v>5113.364295262927</v>
      </c>
      <c r="N273" s="11">
        <f t="shared" si="34"/>
        <v>0.98198169518780887</v>
      </c>
    </row>
    <row r="274" spans="1:14">
      <c r="A274" s="7">
        <v>273</v>
      </c>
      <c r="B274" s="7">
        <v>69.437930249999994</v>
      </c>
      <c r="D274" s="22">
        <f t="shared" si="28"/>
        <v>-0.51846867770008487</v>
      </c>
      <c r="E274" s="11">
        <v>70.219342659999995</v>
      </c>
      <c r="F274" s="28">
        <f t="shared" si="31"/>
        <v>0.26294373229991663</v>
      </c>
      <c r="G274" s="22">
        <f t="shared" si="29"/>
        <v>0.26880976975607446</v>
      </c>
      <c r="H274" s="11">
        <f t="shared" si="30"/>
        <v>-0.13632808919506287</v>
      </c>
      <c r="L274" s="24">
        <f t="shared" si="32"/>
        <v>4875.8858178259288</v>
      </c>
      <c r="M274" s="22">
        <f t="shared" si="33"/>
        <v>4930.756083602495</v>
      </c>
      <c r="N274" s="11">
        <f t="shared" si="34"/>
        <v>0.98887183530350642</v>
      </c>
    </row>
    <row r="275" spans="1:14">
      <c r="A275" s="7">
        <v>274</v>
      </c>
      <c r="B275" s="7">
        <v>68.718765009999998</v>
      </c>
      <c r="D275" s="22">
        <f t="shared" si="28"/>
        <v>-1.2376339177000801</v>
      </c>
      <c r="E275" s="11">
        <v>69.437930249999994</v>
      </c>
      <c r="F275" s="28">
        <f t="shared" si="31"/>
        <v>-0.51846867770008487</v>
      </c>
      <c r="G275" s="22">
        <f t="shared" si="29"/>
        <v>1.5317377142416486</v>
      </c>
      <c r="H275" s="11">
        <f t="shared" si="30"/>
        <v>0.6416744207867362</v>
      </c>
      <c r="L275" s="24">
        <f t="shared" si="32"/>
        <v>4771.6888116305199</v>
      </c>
      <c r="M275" s="22">
        <f t="shared" si="33"/>
        <v>4821.6261574038645</v>
      </c>
      <c r="N275" s="11">
        <f t="shared" si="34"/>
        <v>0.98964304901642719</v>
      </c>
    </row>
    <row r="276" spans="1:14">
      <c r="A276" s="7">
        <v>275</v>
      </c>
      <c r="B276" s="7">
        <v>70.099260409999999</v>
      </c>
      <c r="D276" s="22">
        <f t="shared" si="28"/>
        <v>0.14286148229992079</v>
      </c>
      <c r="E276" s="11">
        <v>68.718765009999998</v>
      </c>
      <c r="F276" s="28">
        <f t="shared" si="31"/>
        <v>-1.2376339177000801</v>
      </c>
      <c r="G276" s="22">
        <f t="shared" si="29"/>
        <v>2.0409403124930583E-2</v>
      </c>
      <c r="H276" s="11">
        <f t="shared" si="30"/>
        <v>-0.17681021602729163</v>
      </c>
      <c r="L276" s="24">
        <f t="shared" si="32"/>
        <v>4817.134603489586</v>
      </c>
      <c r="M276" s="22">
        <f t="shared" si="33"/>
        <v>4722.2686644996002</v>
      </c>
      <c r="N276" s="11">
        <f t="shared" si="34"/>
        <v>1.0200890600958721</v>
      </c>
    </row>
    <row r="277" spans="1:14">
      <c r="A277" s="7">
        <v>276</v>
      </c>
      <c r="B277" s="7">
        <v>69.382704459999999</v>
      </c>
      <c r="D277" s="22">
        <f t="shared" si="28"/>
        <v>-0.57369446770007926</v>
      </c>
      <c r="E277" s="11">
        <v>70.099260409999999</v>
      </c>
      <c r="F277" s="28">
        <f t="shared" si="31"/>
        <v>0.14286148229992079</v>
      </c>
      <c r="G277" s="22">
        <f t="shared" si="29"/>
        <v>0.32912534226967727</v>
      </c>
      <c r="H277" s="11">
        <f t="shared" si="30"/>
        <v>-8.1958842042897356E-2</v>
      </c>
      <c r="L277" s="24">
        <f t="shared" si="32"/>
        <v>4863.6762678916084</v>
      </c>
      <c r="M277" s="22">
        <f t="shared" si="33"/>
        <v>4913.9063100289932</v>
      </c>
      <c r="N277" s="11">
        <f t="shared" si="34"/>
        <v>0.98977798131094441</v>
      </c>
    </row>
    <row r="278" spans="1:14">
      <c r="A278" s="7">
        <v>277</v>
      </c>
      <c r="B278" s="7">
        <v>69.377367539999995</v>
      </c>
      <c r="D278" s="22">
        <f t="shared" si="28"/>
        <v>-0.57903138770008411</v>
      </c>
      <c r="E278" s="11">
        <v>69.382704459999999</v>
      </c>
      <c r="F278" s="28">
        <f t="shared" si="31"/>
        <v>-0.57369446770007926</v>
      </c>
      <c r="G278" s="22">
        <f t="shared" si="29"/>
        <v>0.33527734794188513</v>
      </c>
      <c r="H278" s="11">
        <f t="shared" si="30"/>
        <v>0.33218710374823796</v>
      </c>
      <c r="L278" s="24">
        <f t="shared" si="32"/>
        <v>4813.5893882406172</v>
      </c>
      <c r="M278" s="22">
        <f t="shared" si="33"/>
        <v>4813.9596781837035</v>
      </c>
      <c r="N278" s="11">
        <f t="shared" si="34"/>
        <v>0.99992307996579932</v>
      </c>
    </row>
    <row r="279" spans="1:14">
      <c r="A279" s="7">
        <v>278</v>
      </c>
      <c r="B279" s="7">
        <v>68.952689280000001</v>
      </c>
      <c r="D279" s="22">
        <f t="shared" si="28"/>
        <v>-1.0037096477000773</v>
      </c>
      <c r="E279" s="11">
        <v>69.377367539999995</v>
      </c>
      <c r="F279" s="28">
        <f t="shared" si="31"/>
        <v>-0.57903138770008411</v>
      </c>
      <c r="G279" s="22">
        <f t="shared" si="29"/>
        <v>1.0074330568862133</v>
      </c>
      <c r="H279" s="11">
        <f t="shared" si="30"/>
        <v>0.58117939015573827</v>
      </c>
      <c r="L279" s="24">
        <f t="shared" si="32"/>
        <v>4783.7560670499779</v>
      </c>
      <c r="M279" s="22">
        <f t="shared" si="33"/>
        <v>4813.2191267802446</v>
      </c>
      <c r="N279" s="11">
        <f t="shared" si="34"/>
        <v>0.9938787204666546</v>
      </c>
    </row>
    <row r="280" spans="1:14">
      <c r="A280" s="7">
        <v>279</v>
      </c>
      <c r="B280" s="7">
        <v>69.609357579999994</v>
      </c>
      <c r="D280" s="22">
        <f t="shared" si="28"/>
        <v>-0.34704134770008466</v>
      </c>
      <c r="E280" s="11">
        <v>68.952689280000001</v>
      </c>
      <c r="F280" s="28">
        <f t="shared" si="31"/>
        <v>-1.0037096477000773</v>
      </c>
      <c r="G280" s="22">
        <f t="shared" si="29"/>
        <v>0.12043769701349105</v>
      </c>
      <c r="H280" s="11">
        <f t="shared" si="30"/>
        <v>0.34832874883741199</v>
      </c>
      <c r="L280" s="24">
        <f t="shared" si="32"/>
        <v>4799.7524041941524</v>
      </c>
      <c r="M280" s="22">
        <f t="shared" si="33"/>
        <v>4754.4733589442267</v>
      </c>
      <c r="N280" s="11">
        <f t="shared" si="34"/>
        <v>1.0095234617656961</v>
      </c>
    </row>
    <row r="281" spans="1:14">
      <c r="A281" s="7">
        <v>280</v>
      </c>
      <c r="B281" s="7">
        <v>68.285578490000006</v>
      </c>
      <c r="D281" s="22">
        <f t="shared" si="28"/>
        <v>-1.6708204377000726</v>
      </c>
      <c r="E281" s="11">
        <v>69.609357579999994</v>
      </c>
      <c r="F281" s="28">
        <f t="shared" si="31"/>
        <v>-0.34704134770008466</v>
      </c>
      <c r="G281" s="22">
        <f t="shared" si="29"/>
        <v>2.7916409350362623</v>
      </c>
      <c r="H281" s="11">
        <f t="shared" si="30"/>
        <v>0.57984377646427854</v>
      </c>
      <c r="L281" s="24">
        <f t="shared" si="32"/>
        <v>4753.315250667566</v>
      </c>
      <c r="M281" s="22">
        <f t="shared" si="33"/>
        <v>4845.4626627003026</v>
      </c>
      <c r="N281" s="11">
        <f t="shared" si="34"/>
        <v>0.98098274232054772</v>
      </c>
    </row>
    <row r="282" spans="1:14">
      <c r="A282" s="7">
        <v>281</v>
      </c>
      <c r="B282" s="7">
        <v>70.415001459999999</v>
      </c>
      <c r="D282" s="22">
        <f t="shared" si="28"/>
        <v>0.45860253229992054</v>
      </c>
      <c r="E282" s="11">
        <v>68.285578490000006</v>
      </c>
      <c r="F282" s="28">
        <f t="shared" si="31"/>
        <v>-1.6708204377000726</v>
      </c>
      <c r="G282" s="22">
        <f t="shared" si="29"/>
        <v>0.21031628263189966</v>
      </c>
      <c r="H282" s="11">
        <f t="shared" si="30"/>
        <v>-0.76624248374771498</v>
      </c>
      <c r="L282" s="24">
        <f t="shared" si="32"/>
        <v>4808.3291090702951</v>
      </c>
      <c r="M282" s="22">
        <f t="shared" si="33"/>
        <v>4662.9202297139518</v>
      </c>
      <c r="N282" s="11">
        <f t="shared" si="34"/>
        <v>1.0311840804030361</v>
      </c>
    </row>
    <row r="283" spans="1:14">
      <c r="A283" s="7">
        <v>282</v>
      </c>
      <c r="B283" s="7">
        <v>69.79872091</v>
      </c>
      <c r="D283" s="22">
        <f t="shared" si="28"/>
        <v>-0.1576780177000785</v>
      </c>
      <c r="E283" s="11">
        <v>70.415001459999999</v>
      </c>
      <c r="F283" s="28">
        <f t="shared" si="31"/>
        <v>0.45860253229992054</v>
      </c>
      <c r="G283" s="22">
        <f t="shared" si="29"/>
        <v>2.4862357265826269E-2</v>
      </c>
      <c r="H283" s="11">
        <f t="shared" si="30"/>
        <v>-7.2311538205287698E-2</v>
      </c>
      <c r="L283" s="24">
        <f t="shared" si="32"/>
        <v>4914.8770347837826</v>
      </c>
      <c r="M283" s="22">
        <f t="shared" si="33"/>
        <v>4958.2724306118016</v>
      </c>
      <c r="N283" s="11">
        <f t="shared" si="34"/>
        <v>0.99124787989459784</v>
      </c>
    </row>
    <row r="284" spans="1:14">
      <c r="A284" s="7">
        <v>283</v>
      </c>
      <c r="B284" s="7">
        <v>69.814626790000005</v>
      </c>
      <c r="D284" s="22">
        <f t="shared" si="28"/>
        <v>-0.14177213770007313</v>
      </c>
      <c r="E284" s="11">
        <v>69.79872091</v>
      </c>
      <c r="F284" s="28">
        <f t="shared" si="31"/>
        <v>-0.1576780177000785</v>
      </c>
      <c r="G284" s="22">
        <f t="shared" si="29"/>
        <v>2.0099339028048498E-2</v>
      </c>
      <c r="H284" s="11">
        <f t="shared" si="30"/>
        <v>2.2354349637650098E-2</v>
      </c>
      <c r="L284" s="24">
        <f t="shared" si="32"/>
        <v>4872.9716507510193</v>
      </c>
      <c r="M284" s="22">
        <f t="shared" si="33"/>
        <v>4871.8614406720717</v>
      </c>
      <c r="N284" s="11">
        <f t="shared" si="34"/>
        <v>1.0002278821129187</v>
      </c>
    </row>
    <row r="285" spans="1:14">
      <c r="A285" s="7">
        <v>284</v>
      </c>
      <c r="B285" s="7">
        <v>69.736636759999996</v>
      </c>
      <c r="D285" s="22">
        <f t="shared" si="28"/>
        <v>-0.2197621677000825</v>
      </c>
      <c r="E285" s="11">
        <v>69.814626790000005</v>
      </c>
      <c r="F285" s="28">
        <f t="shared" si="31"/>
        <v>-0.14177213770007313</v>
      </c>
      <c r="G285" s="22">
        <f t="shared" si="29"/>
        <v>4.8295410352239186E-2</v>
      </c>
      <c r="H285" s="11">
        <f t="shared" si="30"/>
        <v>3.115615230044266E-2</v>
      </c>
      <c r="L285" s="24">
        <f t="shared" si="32"/>
        <v>4868.637268989195</v>
      </c>
      <c r="M285" s="22">
        <f t="shared" si="33"/>
        <v>4874.0821138269866</v>
      </c>
      <c r="N285" s="11">
        <f t="shared" si="34"/>
        <v>0.99888289841848465</v>
      </c>
    </row>
    <row r="286" spans="1:14">
      <c r="A286" s="7">
        <v>285</v>
      </c>
      <c r="B286" s="7">
        <v>69.135479509999996</v>
      </c>
      <c r="D286" s="22">
        <f t="shared" si="28"/>
        <v>-0.82091941770008248</v>
      </c>
      <c r="E286" s="11">
        <v>69.736636759999996</v>
      </c>
      <c r="F286" s="28">
        <f t="shared" si="31"/>
        <v>-0.2197621677000825</v>
      </c>
      <c r="G286" s="22">
        <f t="shared" si="29"/>
        <v>0.67390869035704248</v>
      </c>
      <c r="H286" s="11">
        <f t="shared" si="30"/>
        <v>0.18040703074085959</v>
      </c>
      <c r="L286" s="24">
        <f t="shared" si="32"/>
        <v>4821.2758218172921</v>
      </c>
      <c r="M286" s="22">
        <f t="shared" si="33"/>
        <v>4863.1985065961826</v>
      </c>
      <c r="N286" s="11">
        <f t="shared" si="34"/>
        <v>0.99137960650340951</v>
      </c>
    </row>
    <row r="287" spans="1:14">
      <c r="A287" s="7">
        <v>286</v>
      </c>
      <c r="B287" s="7">
        <v>68.672516540000004</v>
      </c>
      <c r="D287" s="22">
        <f t="shared" si="28"/>
        <v>-1.2838823877000749</v>
      </c>
      <c r="E287" s="11">
        <v>69.135479509999996</v>
      </c>
      <c r="F287" s="28">
        <f t="shared" si="31"/>
        <v>-0.82091941770008248</v>
      </c>
      <c r="G287" s="22">
        <f t="shared" si="29"/>
        <v>1.6483539854464455</v>
      </c>
      <c r="H287" s="11">
        <f t="shared" si="30"/>
        <v>1.0539639821061371</v>
      </c>
      <c r="L287" s="24">
        <f t="shared" si="32"/>
        <v>4747.7073601513057</v>
      </c>
      <c r="M287" s="22">
        <f t="shared" si="33"/>
        <v>4779.7145270776291</v>
      </c>
      <c r="N287" s="11">
        <f t="shared" si="34"/>
        <v>0.99330354004512211</v>
      </c>
    </row>
    <row r="288" spans="1:14">
      <c r="A288" s="7">
        <v>287</v>
      </c>
      <c r="B288" s="7">
        <v>70.399264619999997</v>
      </c>
      <c r="D288" s="22">
        <f t="shared" si="28"/>
        <v>0.44286569229991812</v>
      </c>
      <c r="E288" s="11">
        <v>68.672516540000004</v>
      </c>
      <c r="F288" s="28">
        <f t="shared" si="31"/>
        <v>-1.2838823877000749</v>
      </c>
      <c r="G288" s="22">
        <f t="shared" si="29"/>
        <v>0.19613002141628577</v>
      </c>
      <c r="H288" s="11">
        <f t="shared" si="30"/>
        <v>-0.56858746246046554</v>
      </c>
      <c r="L288" s="24">
        <f t="shared" si="32"/>
        <v>4834.4946640207872</v>
      </c>
      <c r="M288" s="22">
        <f t="shared" si="33"/>
        <v>4715.9145279365739</v>
      </c>
      <c r="N288" s="11">
        <f t="shared" si="34"/>
        <v>1.0251446745656134</v>
      </c>
    </row>
    <row r="289" spans="1:14">
      <c r="A289" s="7">
        <v>288</v>
      </c>
      <c r="B289" s="7">
        <v>70.112163210000006</v>
      </c>
      <c r="D289" s="22">
        <f t="shared" si="28"/>
        <v>0.155764282299927</v>
      </c>
      <c r="E289" s="11">
        <v>70.399264619999997</v>
      </c>
      <c r="F289" s="28">
        <f t="shared" si="31"/>
        <v>0.44286569229991812</v>
      </c>
      <c r="G289" s="22">
        <f t="shared" si="29"/>
        <v>2.4262511640411353E-2</v>
      </c>
      <c r="H289" s="11">
        <f t="shared" si="30"/>
        <v>6.898265671635706E-2</v>
      </c>
      <c r="L289" s="24">
        <f t="shared" si="32"/>
        <v>4935.8447309014191</v>
      </c>
      <c r="M289" s="22">
        <f t="shared" si="33"/>
        <v>4956.0564590367831</v>
      </c>
      <c r="N289" s="11">
        <f t="shared" si="34"/>
        <v>0.99592181237190902</v>
      </c>
    </row>
    <row r="290" spans="1:14">
      <c r="A290" s="7">
        <v>289</v>
      </c>
      <c r="B290" s="7">
        <v>70.218688729999997</v>
      </c>
      <c r="D290" s="22">
        <f t="shared" si="28"/>
        <v>0.26228980229991805</v>
      </c>
      <c r="E290" s="11">
        <v>70.112163210000006</v>
      </c>
      <c r="F290" s="28">
        <f t="shared" si="31"/>
        <v>0.155764282299927</v>
      </c>
      <c r="G290" s="22">
        <f t="shared" si="29"/>
        <v>6.8795940390530094E-2</v>
      </c>
      <c r="H290" s="11">
        <f t="shared" si="30"/>
        <v>4.0855382809836478E-2</v>
      </c>
      <c r="L290" s="24">
        <f t="shared" si="32"/>
        <v>4923.1841646299481</v>
      </c>
      <c r="M290" s="22">
        <f t="shared" si="33"/>
        <v>4915.7154299856784</v>
      </c>
      <c r="N290" s="11">
        <f t="shared" si="34"/>
        <v>1.0015193586265614</v>
      </c>
    </row>
    <row r="291" spans="1:14">
      <c r="A291" s="7">
        <v>290</v>
      </c>
      <c r="B291" s="7">
        <v>69.296067390000005</v>
      </c>
      <c r="D291" s="22">
        <f t="shared" si="28"/>
        <v>-0.66033153770007402</v>
      </c>
      <c r="E291" s="11">
        <v>70.218688729999997</v>
      </c>
      <c r="F291" s="28">
        <f t="shared" si="31"/>
        <v>0.26228980229991805</v>
      </c>
      <c r="G291" s="22">
        <f t="shared" si="29"/>
        <v>0.43603773968134429</v>
      </c>
      <c r="H291" s="11">
        <f t="shared" si="30"/>
        <v>-0.17319822847575331</v>
      </c>
      <c r="L291" s="24">
        <f t="shared" si="32"/>
        <v>4865.8789862715139</v>
      </c>
      <c r="M291" s="22">
        <f t="shared" si="33"/>
        <v>4930.6642469606286</v>
      </c>
      <c r="N291" s="11">
        <f t="shared" si="34"/>
        <v>0.9868607438178234</v>
      </c>
    </row>
    <row r="292" spans="1:14">
      <c r="A292" s="7">
        <v>291</v>
      </c>
      <c r="B292" s="7">
        <v>68.864852380000002</v>
      </c>
      <c r="D292" s="22">
        <f t="shared" si="28"/>
        <v>-1.0915465477000765</v>
      </c>
      <c r="E292" s="11">
        <v>69.296067390000005</v>
      </c>
      <c r="F292" s="28">
        <f t="shared" si="31"/>
        <v>-0.66033153770007402</v>
      </c>
      <c r="G292" s="22">
        <f t="shared" si="29"/>
        <v>1.1914738657959554</v>
      </c>
      <c r="H292" s="11">
        <f t="shared" si="30"/>
        <v>0.72078261031399871</v>
      </c>
      <c r="L292" s="24">
        <f t="shared" si="32"/>
        <v>4772.0634513268824</v>
      </c>
      <c r="M292" s="22">
        <f t="shared" si="33"/>
        <v>4801.9449557194221</v>
      </c>
      <c r="N292" s="11">
        <f t="shared" si="34"/>
        <v>0.99377720805463443</v>
      </c>
    </row>
    <row r="293" spans="1:14">
      <c r="A293" s="7">
        <v>292</v>
      </c>
      <c r="B293" s="7">
        <v>70.002338359999996</v>
      </c>
      <c r="D293" s="22">
        <f t="shared" si="28"/>
        <v>4.5939432299917371E-2</v>
      </c>
      <c r="E293" s="11">
        <v>68.864852380000002</v>
      </c>
      <c r="F293" s="28">
        <f t="shared" si="31"/>
        <v>-1.0915465477000765</v>
      </c>
      <c r="G293" s="22">
        <f t="shared" si="29"/>
        <v>2.1104314400386915E-3</v>
      </c>
      <c r="H293" s="11">
        <f t="shared" si="30"/>
        <v>-5.0145028730276195E-2</v>
      </c>
      <c r="L293" s="24">
        <f t="shared" si="32"/>
        <v>4820.7006974162114</v>
      </c>
      <c r="M293" s="22">
        <f t="shared" si="33"/>
        <v>4742.3678933191923</v>
      </c>
      <c r="N293" s="11">
        <f t="shared" si="34"/>
        <v>1.0165176565503007</v>
      </c>
    </row>
    <row r="294" spans="1:14">
      <c r="A294" s="7">
        <v>293</v>
      </c>
      <c r="B294" s="7">
        <v>71.2723558</v>
      </c>
      <c r="D294" s="22">
        <f t="shared" si="28"/>
        <v>1.3159568722999211</v>
      </c>
      <c r="E294" s="11">
        <v>70.002338359999996</v>
      </c>
      <c r="F294" s="28">
        <f t="shared" si="31"/>
        <v>4.5939432299917371E-2</v>
      </c>
      <c r="G294" s="22">
        <f t="shared" si="29"/>
        <v>1.7317424897533908</v>
      </c>
      <c r="H294" s="11">
        <f t="shared" si="30"/>
        <v>6.0454311644633232E-2</v>
      </c>
      <c r="L294" s="24">
        <f t="shared" si="32"/>
        <v>4989.2315664259086</v>
      </c>
      <c r="M294" s="22">
        <f t="shared" si="33"/>
        <v>4900.327375867927</v>
      </c>
      <c r="N294" s="11">
        <f t="shared" si="34"/>
        <v>1.0181425002329023</v>
      </c>
    </row>
    <row r="295" spans="1:14">
      <c r="A295" s="7">
        <v>294</v>
      </c>
      <c r="B295" s="7">
        <v>70.587395569999998</v>
      </c>
      <c r="D295" s="22">
        <f t="shared" si="28"/>
        <v>0.63099664229991959</v>
      </c>
      <c r="E295" s="11">
        <v>71.2723558</v>
      </c>
      <c r="F295" s="28">
        <f t="shared" si="31"/>
        <v>1.3159568722999211</v>
      </c>
      <c r="G295" s="22">
        <f t="shared" si="29"/>
        <v>0.39815676259377264</v>
      </c>
      <c r="H295" s="11">
        <f t="shared" si="30"/>
        <v>0.83036436783275425</v>
      </c>
      <c r="L295" s="24">
        <f t="shared" si="32"/>
        <v>5030.929972060384</v>
      </c>
      <c r="M295" s="22">
        <f t="shared" si="33"/>
        <v>5079.7487012817937</v>
      </c>
      <c r="N295" s="11">
        <f t="shared" si="34"/>
        <v>0.99038953852006673</v>
      </c>
    </row>
    <row r="296" spans="1:14">
      <c r="A296" s="7">
        <v>295</v>
      </c>
      <c r="B296" s="7">
        <v>68.54881073</v>
      </c>
      <c r="D296" s="22">
        <f t="shared" si="28"/>
        <v>-1.407588197700079</v>
      </c>
      <c r="E296" s="11">
        <v>70.587395569999998</v>
      </c>
      <c r="F296" s="28">
        <f t="shared" si="31"/>
        <v>0.63099664229991959</v>
      </c>
      <c r="G296" s="22">
        <f t="shared" si="29"/>
        <v>1.9813045343045568</v>
      </c>
      <c r="H296" s="11">
        <f t="shared" si="30"/>
        <v>-0.88818342648974524</v>
      </c>
      <c r="L296" s="24">
        <f t="shared" si="32"/>
        <v>4838.6820188515703</v>
      </c>
      <c r="M296" s="22">
        <f t="shared" si="33"/>
        <v>4982.5804133556558</v>
      </c>
      <c r="N296" s="11">
        <f t="shared" si="34"/>
        <v>0.97111970453735774</v>
      </c>
    </row>
    <row r="297" spans="1:14">
      <c r="A297" s="7">
        <v>296</v>
      </c>
      <c r="B297" s="7">
        <v>70.951023849999999</v>
      </c>
      <c r="D297" s="22">
        <f t="shared" si="28"/>
        <v>0.99462492229991994</v>
      </c>
      <c r="E297" s="11">
        <v>68.54881073</v>
      </c>
      <c r="F297" s="28">
        <f t="shared" si="31"/>
        <v>-1.407588197700079</v>
      </c>
      <c r="G297" s="22">
        <f t="shared" si="29"/>
        <v>0.98927873606012173</v>
      </c>
      <c r="H297" s="11">
        <f t="shared" si="30"/>
        <v>-1.4000223017677256</v>
      </c>
      <c r="L297" s="24">
        <f t="shared" si="32"/>
        <v>4863.6083049933659</v>
      </c>
      <c r="M297" s="22">
        <f t="shared" si="33"/>
        <v>4698.9394524973632</v>
      </c>
      <c r="N297" s="11">
        <f t="shared" si="34"/>
        <v>1.0350438336481407</v>
      </c>
    </row>
    <row r="298" spans="1:14">
      <c r="A298" s="7">
        <v>297</v>
      </c>
      <c r="B298" s="7">
        <v>70.149421779999997</v>
      </c>
      <c r="D298" s="22">
        <f t="shared" si="28"/>
        <v>0.19302285229991867</v>
      </c>
      <c r="E298" s="11">
        <v>70.951023849999999</v>
      </c>
      <c r="F298" s="28">
        <f t="shared" si="31"/>
        <v>0.99462492229991994</v>
      </c>
      <c r="G298" s="22">
        <f t="shared" si="29"/>
        <v>3.7257821509996215E-2</v>
      </c>
      <c r="H298" s="11">
        <f t="shared" si="30"/>
        <v>0.19198533947091553</v>
      </c>
      <c r="L298" s="24">
        <f t="shared" si="32"/>
        <v>4977.1732977764896</v>
      </c>
      <c r="M298" s="22">
        <f t="shared" si="33"/>
        <v>5034.0477853632683</v>
      </c>
      <c r="N298" s="11">
        <f t="shared" si="34"/>
        <v>0.9887020366091589</v>
      </c>
    </row>
    <row r="299" spans="1:14">
      <c r="A299" s="7">
        <v>298</v>
      </c>
      <c r="B299" s="7">
        <v>68.262758509999998</v>
      </c>
      <c r="D299" s="22">
        <f t="shared" si="28"/>
        <v>-1.693640417700081</v>
      </c>
      <c r="E299" s="11">
        <v>70.149421779999997</v>
      </c>
      <c r="F299" s="28">
        <f t="shared" si="31"/>
        <v>0.19302285229991867</v>
      </c>
      <c r="G299" s="22">
        <f t="shared" si="29"/>
        <v>2.8684178644673048</v>
      </c>
      <c r="H299" s="11">
        <f t="shared" si="30"/>
        <v>-0.32691130419489528</v>
      </c>
      <c r="L299" s="24">
        <f t="shared" si="32"/>
        <v>4788.5930385842739</v>
      </c>
      <c r="M299" s="22">
        <f t="shared" si="33"/>
        <v>4920.9413760683383</v>
      </c>
      <c r="N299" s="11">
        <f t="shared" si="34"/>
        <v>0.97310507738870766</v>
      </c>
    </row>
    <row r="300" spans="1:14">
      <c r="A300" s="7">
        <v>299</v>
      </c>
      <c r="B300" s="7">
        <v>71.507253160000005</v>
      </c>
      <c r="D300" s="22">
        <f t="shared" si="28"/>
        <v>1.5508542322999261</v>
      </c>
      <c r="E300" s="11">
        <v>68.262758509999998</v>
      </c>
      <c r="F300" s="28">
        <f t="shared" si="31"/>
        <v>-1.693640417700081</v>
      </c>
      <c r="G300" s="22">
        <f t="shared" si="29"/>
        <v>2.4051488498425933</v>
      </c>
      <c r="H300" s="11">
        <f t="shared" si="30"/>
        <v>-2.6265894097843852</v>
      </c>
      <c r="L300" s="24">
        <f t="shared" si="32"/>
        <v>4881.2823541745147</v>
      </c>
      <c r="M300" s="22">
        <f t="shared" si="33"/>
        <v>4659.8041993945772</v>
      </c>
      <c r="N300" s="11">
        <f t="shared" si="34"/>
        <v>1.0475294980867893</v>
      </c>
    </row>
    <row r="301" spans="1:14">
      <c r="A301" s="7">
        <v>300</v>
      </c>
      <c r="B301" s="7">
        <v>71.021492050000006</v>
      </c>
      <c r="D301" s="22">
        <f t="shared" si="28"/>
        <v>1.0650931222999276</v>
      </c>
      <c r="E301" s="11">
        <v>71.507253160000005</v>
      </c>
      <c r="F301" s="28">
        <f t="shared" si="31"/>
        <v>1.5508542322999261</v>
      </c>
      <c r="G301" s="22">
        <f t="shared" si="29"/>
        <v>1.1344233591706085</v>
      </c>
      <c r="H301" s="11">
        <f t="shared" si="30"/>
        <v>1.6518041765123856</v>
      </c>
      <c r="L301" s="24">
        <f t="shared" si="32"/>
        <v>5078.5518118202781</v>
      </c>
      <c r="M301" s="22">
        <f t="shared" si="33"/>
        <v>5113.2872544883303</v>
      </c>
      <c r="N301" s="11">
        <f t="shared" si="34"/>
        <v>0.9932068274401048</v>
      </c>
    </row>
    <row r="302" spans="1:14">
      <c r="A302" s="7">
        <v>301</v>
      </c>
      <c r="B302" s="7">
        <v>68.698986590000004</v>
      </c>
      <c r="D302" s="22">
        <f t="shared" si="28"/>
        <v>-1.2574123377000745</v>
      </c>
      <c r="E302" s="11">
        <v>71.021492050000006</v>
      </c>
      <c r="F302" s="28">
        <f t="shared" si="31"/>
        <v>1.0650931222999276</v>
      </c>
      <c r="G302" s="22">
        <f t="shared" si="29"/>
        <v>1.5810857870003663</v>
      </c>
      <c r="H302" s="11">
        <f t="shared" si="30"/>
        <v>-1.3392612327794233</v>
      </c>
      <c r="L302" s="24">
        <f t="shared" si="32"/>
        <v>4879.1045299447424</v>
      </c>
      <c r="M302" s="22">
        <f t="shared" si="33"/>
        <v>5044.0523330082142</v>
      </c>
      <c r="N302" s="11">
        <f t="shared" si="34"/>
        <v>0.96729855438175061</v>
      </c>
    </row>
    <row r="303" spans="1:14">
      <c r="A303" s="7">
        <v>302</v>
      </c>
      <c r="B303" s="7">
        <v>68.229504570000003</v>
      </c>
      <c r="D303" s="22">
        <f t="shared" si="28"/>
        <v>-1.7268943577000755</v>
      </c>
      <c r="E303" s="11">
        <v>68.698986590000004</v>
      </c>
      <c r="F303" s="28">
        <f t="shared" si="31"/>
        <v>-1.2574123377000745</v>
      </c>
      <c r="G303" s="22">
        <f t="shared" si="29"/>
        <v>2.9821641226563562</v>
      </c>
      <c r="H303" s="11">
        <f t="shared" si="30"/>
        <v>2.1714182712767207</v>
      </c>
      <c r="L303" s="24">
        <f t="shared" si="32"/>
        <v>4687.2978194967745</v>
      </c>
      <c r="M303" s="22">
        <f t="shared" si="33"/>
        <v>4719.5507584930001</v>
      </c>
      <c r="N303" s="11">
        <f t="shared" si="34"/>
        <v>0.99316609977375803</v>
      </c>
    </row>
    <row r="304" spans="1:14">
      <c r="A304" s="7">
        <v>303</v>
      </c>
      <c r="B304" s="7">
        <v>69.695551660000007</v>
      </c>
      <c r="D304" s="22">
        <f t="shared" si="28"/>
        <v>-0.26084726770007194</v>
      </c>
      <c r="E304" s="11">
        <v>68.229504570000003</v>
      </c>
      <c r="F304" s="28">
        <f t="shared" si="31"/>
        <v>-1.7268943577000755</v>
      </c>
      <c r="G304" s="22">
        <f t="shared" si="29"/>
        <v>6.8041297066592996E-2</v>
      </c>
      <c r="H304" s="11">
        <f t="shared" si="30"/>
        <v>0.45045567481273535</v>
      </c>
      <c r="L304" s="24">
        <f t="shared" si="32"/>
        <v>4755.2929604946421</v>
      </c>
      <c r="M304" s="22">
        <f t="shared" si="33"/>
        <v>4655.2652938676511</v>
      </c>
      <c r="N304" s="11">
        <f t="shared" si="34"/>
        <v>1.0214869959739474</v>
      </c>
    </row>
    <row r="305" spans="1:14">
      <c r="A305" s="7">
        <v>304</v>
      </c>
      <c r="B305" s="7">
        <v>70.538791180000004</v>
      </c>
      <c r="D305" s="22">
        <f t="shared" si="28"/>
        <v>0.58239225229992542</v>
      </c>
      <c r="E305" s="11">
        <v>69.695551660000007</v>
      </c>
      <c r="F305" s="28">
        <f t="shared" si="31"/>
        <v>-0.26084726770007194</v>
      </c>
      <c r="G305" s="22">
        <f t="shared" si="29"/>
        <v>0.33918073553897998</v>
      </c>
      <c r="H305" s="11">
        <f t="shared" si="30"/>
        <v>-0.15191542774212649</v>
      </c>
      <c r="L305" s="24">
        <f t="shared" si="32"/>
        <v>4916.2399647196435</v>
      </c>
      <c r="M305" s="22">
        <f t="shared" si="33"/>
        <v>4857.4699211917296</v>
      </c>
      <c r="N305" s="11">
        <f t="shared" si="34"/>
        <v>1.0120989001437801</v>
      </c>
    </row>
    <row r="306" spans="1:14">
      <c r="A306" s="7">
        <v>305</v>
      </c>
      <c r="B306" s="7">
        <v>69.562880010000001</v>
      </c>
      <c r="D306" s="22">
        <f t="shared" si="28"/>
        <v>-0.39351891770007796</v>
      </c>
      <c r="E306" s="11">
        <v>70.538791180000004</v>
      </c>
      <c r="F306" s="28">
        <f t="shared" si="31"/>
        <v>0.58239225229992542</v>
      </c>
      <c r="G306" s="22">
        <f t="shared" si="29"/>
        <v>0.15485713858784073</v>
      </c>
      <c r="H306" s="11">
        <f t="shared" si="30"/>
        <v>-0.2291823688019774</v>
      </c>
      <c r="L306" s="24">
        <f t="shared" si="32"/>
        <v>4906.881466904787</v>
      </c>
      <c r="M306" s="22">
        <f t="shared" si="33"/>
        <v>4975.7210611356468</v>
      </c>
      <c r="N306" s="11">
        <f t="shared" si="34"/>
        <v>0.98616490084853192</v>
      </c>
    </row>
    <row r="307" spans="1:14">
      <c r="A307" s="7">
        <v>306</v>
      </c>
      <c r="B307" s="7">
        <v>71.398814250000001</v>
      </c>
      <c r="D307" s="22">
        <f t="shared" si="28"/>
        <v>1.4424153222999223</v>
      </c>
      <c r="E307" s="11">
        <v>69.562880010000001</v>
      </c>
      <c r="F307" s="28">
        <f t="shared" si="31"/>
        <v>-0.39351891770007796</v>
      </c>
      <c r="G307" s="22">
        <f t="shared" si="29"/>
        <v>2.0805619620055888</v>
      </c>
      <c r="H307" s="11">
        <f t="shared" si="30"/>
        <v>-0.56761771650547455</v>
      </c>
      <c r="L307" s="24">
        <f t="shared" si="32"/>
        <v>4966.707148529028</v>
      </c>
      <c r="M307" s="22">
        <f t="shared" si="33"/>
        <v>4838.9942752856577</v>
      </c>
      <c r="N307" s="11">
        <f t="shared" si="34"/>
        <v>1.0263924414822398</v>
      </c>
    </row>
    <row r="308" spans="1:14">
      <c r="A308" s="7">
        <v>307</v>
      </c>
      <c r="B308" s="7">
        <v>70.448844870000002</v>
      </c>
      <c r="D308" s="22">
        <f t="shared" si="28"/>
        <v>0.49244594229992344</v>
      </c>
      <c r="E308" s="11">
        <v>71.398814250000001</v>
      </c>
      <c r="F308" s="28">
        <f t="shared" si="31"/>
        <v>1.4424153222999223</v>
      </c>
      <c r="G308" s="22">
        <f t="shared" si="29"/>
        <v>0.24250300608765954</v>
      </c>
      <c r="H308" s="11">
        <f t="shared" si="30"/>
        <v>0.71031157257783306</v>
      </c>
      <c r="L308" s="24">
        <f t="shared" si="32"/>
        <v>5029.9639890001954</v>
      </c>
      <c r="M308" s="22">
        <f t="shared" si="33"/>
        <v>5097.7906763060028</v>
      </c>
      <c r="N308" s="11">
        <f t="shared" si="34"/>
        <v>0.98669488576275621</v>
      </c>
    </row>
    <row r="309" spans="1:14">
      <c r="A309" s="7">
        <v>308</v>
      </c>
      <c r="B309" s="7">
        <v>68.664976060000001</v>
      </c>
      <c r="D309" s="22">
        <f t="shared" si="28"/>
        <v>-1.2914228677000779</v>
      </c>
      <c r="E309" s="11">
        <v>70.448844870000002</v>
      </c>
      <c r="F309" s="28">
        <f t="shared" si="31"/>
        <v>0.49244594229992344</v>
      </c>
      <c r="G309" s="22">
        <f t="shared" si="29"/>
        <v>1.6677730232186927</v>
      </c>
      <c r="H309" s="11">
        <f t="shared" si="30"/>
        <v>-0.63595595099223423</v>
      </c>
      <c r="L309" s="24">
        <f t="shared" si="32"/>
        <v>4837.3682464532039</v>
      </c>
      <c r="M309" s="22">
        <f t="shared" si="33"/>
        <v>4963.0397435173254</v>
      </c>
      <c r="N309" s="11">
        <f t="shared" si="34"/>
        <v>0.97467852292976853</v>
      </c>
    </row>
    <row r="310" spans="1:14">
      <c r="A310" s="7">
        <v>309</v>
      </c>
      <c r="B310" s="7">
        <v>70.025025569999997</v>
      </c>
      <c r="D310" s="22">
        <f t="shared" si="28"/>
        <v>6.8626642299918217E-2</v>
      </c>
      <c r="E310" s="11">
        <v>68.664976060000001</v>
      </c>
      <c r="F310" s="28">
        <f t="shared" si="31"/>
        <v>-1.2914228677000779</v>
      </c>
      <c r="G310" s="22">
        <f t="shared" si="29"/>
        <v>4.7096160333609241E-3</v>
      </c>
      <c r="H310" s="11">
        <f t="shared" si="30"/>
        <v>-8.8626015199587849E-2</v>
      </c>
      <c r="L310" s="24">
        <f t="shared" si="32"/>
        <v>4808.2667043649381</v>
      </c>
      <c r="M310" s="22">
        <f t="shared" si="33"/>
        <v>4714.8789373203736</v>
      </c>
      <c r="N310" s="11">
        <f t="shared" si="34"/>
        <v>1.019807033920926</v>
      </c>
    </row>
    <row r="311" spans="1:14">
      <c r="A311" s="7">
        <v>310</v>
      </c>
      <c r="B311" s="7">
        <v>71.744585369999996</v>
      </c>
      <c r="D311" s="22">
        <f t="shared" si="28"/>
        <v>1.7881864422999172</v>
      </c>
      <c r="E311" s="11">
        <v>70.025025569999997</v>
      </c>
      <c r="F311" s="28">
        <f t="shared" si="31"/>
        <v>6.8626642299918217E-2</v>
      </c>
      <c r="G311" s="22">
        <f t="shared" si="29"/>
        <v>3.1976107524252351</v>
      </c>
      <c r="H311" s="11">
        <f t="shared" si="30"/>
        <v>0.12271723134127976</v>
      </c>
      <c r="L311" s="24">
        <f t="shared" si="32"/>
        <v>5023.9164250432977</v>
      </c>
      <c r="M311" s="22">
        <f t="shared" si="33"/>
        <v>4903.5042060791529</v>
      </c>
      <c r="N311" s="11">
        <f t="shared" si="34"/>
        <v>1.0245563609010191</v>
      </c>
    </row>
    <row r="312" spans="1:14">
      <c r="A312" s="7">
        <v>311</v>
      </c>
      <c r="B312" s="7">
        <v>70.221750450000002</v>
      </c>
      <c r="D312" s="22">
        <f t="shared" si="28"/>
        <v>0.2653515222999232</v>
      </c>
      <c r="E312" s="11">
        <v>71.744585369999996</v>
      </c>
      <c r="F312" s="28">
        <f t="shared" si="31"/>
        <v>1.7881864422999172</v>
      </c>
      <c r="G312" s="22">
        <f t="shared" si="29"/>
        <v>7.0411430386886645E-2</v>
      </c>
      <c r="H312" s="11">
        <f t="shared" si="30"/>
        <v>0.47449799462036679</v>
      </c>
      <c r="L312" s="24">
        <f t="shared" si="32"/>
        <v>5038.0303699908609</v>
      </c>
      <c r="M312" s="22">
        <f t="shared" si="33"/>
        <v>5147.285529913217</v>
      </c>
      <c r="N312" s="11">
        <f t="shared" si="34"/>
        <v>0.97877421812187715</v>
      </c>
    </row>
    <row r="313" spans="1:14">
      <c r="A313" s="7">
        <v>312</v>
      </c>
      <c r="B313" s="7">
        <v>68.208327370000006</v>
      </c>
      <c r="D313" s="22">
        <f t="shared" si="28"/>
        <v>-1.7480715577000723</v>
      </c>
      <c r="E313" s="11">
        <v>70.221750450000002</v>
      </c>
      <c r="F313" s="28">
        <f t="shared" si="31"/>
        <v>0.2653515222999232</v>
      </c>
      <c r="G313" s="22">
        <f t="shared" si="29"/>
        <v>3.0557541708399572</v>
      </c>
      <c r="H313" s="11">
        <f t="shared" si="30"/>
        <v>-0.4638534489249122</v>
      </c>
      <c r="L313" s="24">
        <f t="shared" si="32"/>
        <v>4789.7081431880451</v>
      </c>
      <c r="M313" s="22">
        <f t="shared" si="33"/>
        <v>4931.0942362620754</v>
      </c>
      <c r="N313" s="11">
        <f t="shared" si="34"/>
        <v>0.97132764325728937</v>
      </c>
    </row>
    <row r="314" spans="1:14">
      <c r="A314" s="7">
        <v>313</v>
      </c>
      <c r="B314" s="7">
        <v>69.888909549999994</v>
      </c>
      <c r="D314" s="22">
        <f t="shared" si="28"/>
        <v>-6.7489377700084674E-2</v>
      </c>
      <c r="E314" s="11">
        <v>68.208327370000006</v>
      </c>
      <c r="F314" s="28">
        <f t="shared" si="31"/>
        <v>-1.7480715577000723</v>
      </c>
      <c r="G314" s="22">
        <f t="shared" si="29"/>
        <v>4.5548161023446863E-3</v>
      </c>
      <c r="H314" s="11">
        <f t="shared" si="30"/>
        <v>0.11797626160439553</v>
      </c>
      <c r="L314" s="24">
        <f t="shared" si="32"/>
        <v>4767.0056221187197</v>
      </c>
      <c r="M314" s="22">
        <f t="shared" si="33"/>
        <v>4652.3759226130924</v>
      </c>
      <c r="N314" s="11">
        <f t="shared" si="34"/>
        <v>1.0246389589775977</v>
      </c>
    </row>
    <row r="315" spans="1:14">
      <c r="A315" s="7">
        <v>314</v>
      </c>
      <c r="B315" s="7">
        <v>68.42352391</v>
      </c>
      <c r="D315" s="22">
        <f t="shared" si="28"/>
        <v>-1.5328750177000785</v>
      </c>
      <c r="E315" s="11">
        <v>69.888909549999994</v>
      </c>
      <c r="F315" s="28">
        <f t="shared" si="31"/>
        <v>-6.7489377700084674E-2</v>
      </c>
      <c r="G315" s="22">
        <f t="shared" si="29"/>
        <v>2.3497058198890159</v>
      </c>
      <c r="H315" s="11">
        <f t="shared" si="30"/>
        <v>0.10345278103658458</v>
      </c>
      <c r="L315" s="24">
        <f t="shared" si="32"/>
        <v>4782.0454736382517</v>
      </c>
      <c r="M315" s="22">
        <f t="shared" si="33"/>
        <v>4884.4596780880802</v>
      </c>
      <c r="N315" s="11">
        <f t="shared" si="34"/>
        <v>0.97903264409996804</v>
      </c>
    </row>
    <row r="316" spans="1:14">
      <c r="A316" s="7">
        <v>315</v>
      </c>
      <c r="B316" s="7">
        <v>67.860819820000003</v>
      </c>
      <c r="D316" s="22">
        <f t="shared" si="28"/>
        <v>-2.0955791077000754</v>
      </c>
      <c r="E316" s="11">
        <v>68.42352391</v>
      </c>
      <c r="F316" s="28">
        <f t="shared" si="31"/>
        <v>-1.5328750177000785</v>
      </c>
      <c r="G316" s="22">
        <f t="shared" si="29"/>
        <v>4.3914517966290445</v>
      </c>
      <c r="H316" s="11">
        <f t="shared" si="30"/>
        <v>3.2122608618076676</v>
      </c>
      <c r="L316" s="24">
        <f t="shared" si="32"/>
        <v>4643.2764275059717</v>
      </c>
      <c r="M316" s="22">
        <f t="shared" si="33"/>
        <v>4681.7786242623415</v>
      </c>
      <c r="N316" s="11">
        <f t="shared" si="34"/>
        <v>0.99177616033427118</v>
      </c>
    </row>
    <row r="317" spans="1:14">
      <c r="A317" s="7">
        <v>316</v>
      </c>
      <c r="B317" s="7">
        <v>70.156880869999995</v>
      </c>
      <c r="D317" s="22">
        <f t="shared" si="28"/>
        <v>0.20048194229991623</v>
      </c>
      <c r="E317" s="11">
        <v>67.860819820000003</v>
      </c>
      <c r="F317" s="28">
        <f t="shared" si="31"/>
        <v>-2.0955791077000754</v>
      </c>
      <c r="G317" s="22">
        <f t="shared" si="29"/>
        <v>4.0193009188346937E-2</v>
      </c>
      <c r="H317" s="11">
        <f t="shared" si="30"/>
        <v>-0.42012576975483645</v>
      </c>
      <c r="L317" s="24">
        <f t="shared" si="32"/>
        <v>4760.9034518522749</v>
      </c>
      <c r="M317" s="22">
        <f t="shared" si="33"/>
        <v>4605.0908666425057</v>
      </c>
      <c r="N317" s="11">
        <f t="shared" si="34"/>
        <v>1.0338348557546204</v>
      </c>
    </row>
    <row r="318" spans="1:14">
      <c r="A318" s="7">
        <v>317</v>
      </c>
      <c r="B318" s="7">
        <v>70.68053003</v>
      </c>
      <c r="D318" s="22">
        <f t="shared" si="28"/>
        <v>0.72413110229992128</v>
      </c>
      <c r="E318" s="11">
        <v>70.156880869999995</v>
      </c>
      <c r="F318" s="28">
        <f t="shared" si="31"/>
        <v>0.20048194229991623</v>
      </c>
      <c r="G318" s="22">
        <f t="shared" si="29"/>
        <v>0.52436585331809904</v>
      </c>
      <c r="H318" s="11">
        <f t="shared" si="30"/>
        <v>0.14517520986886756</v>
      </c>
      <c r="L318" s="24">
        <f t="shared" si="32"/>
        <v>4958.725525143167</v>
      </c>
      <c r="M318" s="22">
        <f t="shared" si="33"/>
        <v>4921.9879334073712</v>
      </c>
      <c r="N318" s="11">
        <f t="shared" si="34"/>
        <v>1.0074639743601248</v>
      </c>
    </row>
    <row r="319" spans="1:14">
      <c r="A319" s="7">
        <v>318</v>
      </c>
      <c r="B319" s="7">
        <v>70.097316410000005</v>
      </c>
      <c r="D319" s="22">
        <f t="shared" si="28"/>
        <v>0.14091748229992618</v>
      </c>
      <c r="E319" s="11">
        <v>70.68053003</v>
      </c>
      <c r="F319" s="28">
        <f t="shared" si="31"/>
        <v>0.72413110229992128</v>
      </c>
      <c r="G319" s="22">
        <f t="shared" si="29"/>
        <v>1.9857736817750007E-2</v>
      </c>
      <c r="H319" s="11">
        <f t="shared" si="30"/>
        <v>0.10204273179117519</v>
      </c>
      <c r="L319" s="24">
        <f t="shared" si="32"/>
        <v>4954.5154775394167</v>
      </c>
      <c r="M319" s="22">
        <f t="shared" si="33"/>
        <v>4995.737325321732</v>
      </c>
      <c r="N319" s="11">
        <f t="shared" si="34"/>
        <v>0.99174859583321651</v>
      </c>
    </row>
    <row r="320" spans="1:14">
      <c r="A320" s="7">
        <v>319</v>
      </c>
      <c r="B320" s="7">
        <v>70.207047439999997</v>
      </c>
      <c r="D320" s="22">
        <f t="shared" si="28"/>
        <v>0.25064851229991802</v>
      </c>
      <c r="E320" s="11">
        <v>70.097316410000005</v>
      </c>
      <c r="F320" s="28">
        <f t="shared" si="31"/>
        <v>0.14091748229992618</v>
      </c>
      <c r="G320" s="22">
        <f t="shared" si="29"/>
        <v>6.2824676718162151E-2</v>
      </c>
      <c r="H320" s="11">
        <f t="shared" si="30"/>
        <v>3.5320757295526528E-2</v>
      </c>
      <c r="L320" s="24">
        <f t="shared" si="32"/>
        <v>4921.3256186135604</v>
      </c>
      <c r="M320" s="22">
        <f t="shared" si="33"/>
        <v>4913.6337678836562</v>
      </c>
      <c r="N320" s="11">
        <f t="shared" si="34"/>
        <v>1.0015654098561801</v>
      </c>
    </row>
    <row r="321" spans="1:14">
      <c r="A321" s="7">
        <v>320</v>
      </c>
      <c r="B321" s="7">
        <v>69.942259120000003</v>
      </c>
      <c r="D321" s="22">
        <f t="shared" si="28"/>
        <v>-1.4139807700075835E-2</v>
      </c>
      <c r="E321" s="11">
        <v>70.207047439999997</v>
      </c>
      <c r="F321" s="28">
        <f t="shared" si="31"/>
        <v>0.25064851229991802</v>
      </c>
      <c r="G321" s="22">
        <f t="shared" si="29"/>
        <v>1.9993416179512388E-4</v>
      </c>
      <c r="H321" s="11">
        <f t="shared" si="30"/>
        <v>-3.5441217642309336E-3</v>
      </c>
      <c r="L321" s="24">
        <f t="shared" si="32"/>
        <v>4910.4395040986128</v>
      </c>
      <c r="M321" s="22">
        <f t="shared" si="33"/>
        <v>4929.0295102424097</v>
      </c>
      <c r="N321" s="11">
        <f t="shared" si="34"/>
        <v>0.99622846523739261</v>
      </c>
    </row>
    <row r="322" spans="1:14">
      <c r="A322" s="7">
        <v>321</v>
      </c>
      <c r="B322" s="7">
        <v>68.604554519999994</v>
      </c>
      <c r="D322" s="22">
        <f t="shared" ref="D322:D385" si="35">B322-$C$2</f>
        <v>-1.3518444077000851</v>
      </c>
      <c r="E322" s="11">
        <v>69.942259120000003</v>
      </c>
      <c r="F322" s="28">
        <f t="shared" si="31"/>
        <v>-1.4139807700075835E-2</v>
      </c>
      <c r="G322" s="22">
        <f t="shared" ref="G322:G385" si="36">(B322-$C$2)^2</f>
        <v>1.8274833026299939</v>
      </c>
      <c r="H322" s="11">
        <f t="shared" ref="H322:H385" si="37">D322*F322</f>
        <v>1.9114819965302118E-2</v>
      </c>
      <c r="L322" s="24">
        <f t="shared" si="32"/>
        <v>4798.3575290500066</v>
      </c>
      <c r="M322" s="22">
        <f t="shared" si="33"/>
        <v>4891.9196108092237</v>
      </c>
      <c r="N322" s="11">
        <f t="shared" si="34"/>
        <v>0.98087415795785327</v>
      </c>
    </row>
    <row r="323" spans="1:14">
      <c r="A323" s="7">
        <v>322</v>
      </c>
      <c r="B323" s="7">
        <v>70.45613032</v>
      </c>
      <c r="D323" s="22">
        <f t="shared" si="35"/>
        <v>0.49973139229992114</v>
      </c>
      <c r="E323" s="11">
        <v>68.604554519999994</v>
      </c>
      <c r="F323" s="28">
        <f t="shared" ref="F323:F386" si="38">E323-$C$2</f>
        <v>-1.3518444077000851</v>
      </c>
      <c r="G323" s="22">
        <f t="shared" si="36"/>
        <v>0.24973146445001768</v>
      </c>
      <c r="H323" s="11">
        <f t="shared" si="37"/>
        <v>-0.67555908803282572</v>
      </c>
      <c r="L323" s="24">
        <f t="shared" ref="L323:L386" si="39">B323*E323</f>
        <v>4833.6114338066645</v>
      </c>
      <c r="M323" s="22">
        <f t="shared" ref="M323:M386" si="40">E323^2</f>
        <v>4706.5849008876512</v>
      </c>
      <c r="N323" s="11">
        <f t="shared" ref="N323:N386" si="41">L323/M323</f>
        <v>1.0269891090023802</v>
      </c>
    </row>
    <row r="324" spans="1:14">
      <c r="A324" s="7">
        <v>323</v>
      </c>
      <c r="B324" s="7">
        <v>72.017325889999995</v>
      </c>
      <c r="D324" s="22">
        <f t="shared" si="35"/>
        <v>2.0609269622999165</v>
      </c>
      <c r="E324" s="11">
        <v>70.45613032</v>
      </c>
      <c r="F324" s="28">
        <f t="shared" si="38"/>
        <v>0.49973139229992114</v>
      </c>
      <c r="G324" s="22">
        <f t="shared" si="36"/>
        <v>4.2474199439347613</v>
      </c>
      <c r="H324" s="11">
        <f t="shared" si="37"/>
        <v>1.0299099002985843</v>
      </c>
      <c r="L324" s="24">
        <f t="shared" si="39"/>
        <v>5074.0620982037499</v>
      </c>
      <c r="M324" s="22">
        <f t="shared" si="40"/>
        <v>4964.0662996688234</v>
      </c>
      <c r="N324" s="11">
        <f t="shared" si="41"/>
        <v>1.022158406414166</v>
      </c>
    </row>
    <row r="325" spans="1:14">
      <c r="A325" s="7">
        <v>324</v>
      </c>
      <c r="B325" s="7">
        <v>71.278889000000007</v>
      </c>
      <c r="D325" s="22">
        <f t="shared" si="35"/>
        <v>1.322490072299928</v>
      </c>
      <c r="E325" s="11">
        <v>72.017325889999995</v>
      </c>
      <c r="F325" s="28">
        <f t="shared" si="38"/>
        <v>2.0609269622999165</v>
      </c>
      <c r="G325" s="22">
        <f t="shared" si="36"/>
        <v>1.7489799913318687</v>
      </c>
      <c r="H325" s="11">
        <f t="shared" si="37"/>
        <v>2.7255554473768875</v>
      </c>
      <c r="L325" s="24">
        <f t="shared" si="39"/>
        <v>5133.3149781901366</v>
      </c>
      <c r="M325" s="22">
        <f t="shared" si="40"/>
        <v>5186.4952283464636</v>
      </c>
      <c r="N325" s="11">
        <f t="shared" si="41"/>
        <v>0.98974639948270393</v>
      </c>
    </row>
    <row r="326" spans="1:14">
      <c r="A326" s="7">
        <v>325</v>
      </c>
      <c r="B326" s="7">
        <v>70.207269650000001</v>
      </c>
      <c r="D326" s="22">
        <f t="shared" si="35"/>
        <v>0.25087072229992202</v>
      </c>
      <c r="E326" s="11">
        <v>71.278889000000007</v>
      </c>
      <c r="F326" s="28">
        <f t="shared" si="38"/>
        <v>1.322490072299928</v>
      </c>
      <c r="G326" s="22">
        <f t="shared" si="36"/>
        <v>6.2936119307284599E-2</v>
      </c>
      <c r="H326" s="11">
        <f t="shared" si="37"/>
        <v>0.33177403967235902</v>
      </c>
      <c r="L326" s="24">
        <f t="shared" si="39"/>
        <v>5004.2961803754197</v>
      </c>
      <c r="M326" s="22">
        <f t="shared" si="40"/>
        <v>5080.6800170743218</v>
      </c>
      <c r="N326" s="11">
        <f t="shared" si="41"/>
        <v>0.98496582417270839</v>
      </c>
    </row>
    <row r="327" spans="1:14">
      <c r="A327" s="7">
        <v>326</v>
      </c>
      <c r="B327" s="7">
        <v>72.080319900000006</v>
      </c>
      <c r="D327" s="22">
        <f t="shared" si="35"/>
        <v>2.1239209722999277</v>
      </c>
      <c r="E327" s="11">
        <v>70.207269650000001</v>
      </c>
      <c r="F327" s="28">
        <f t="shared" si="38"/>
        <v>0.25087072229992202</v>
      </c>
      <c r="G327" s="22">
        <f t="shared" si="36"/>
        <v>4.5110402965754703</v>
      </c>
      <c r="H327" s="11">
        <f t="shared" si="37"/>
        <v>0.53282958842883554</v>
      </c>
      <c r="L327" s="24">
        <f t="shared" si="39"/>
        <v>5060.562455677562</v>
      </c>
      <c r="M327" s="22">
        <f t="shared" si="40"/>
        <v>4929.0607117078116</v>
      </c>
      <c r="N327" s="11">
        <f t="shared" si="41"/>
        <v>1.0266788647292169</v>
      </c>
    </row>
    <row r="328" spans="1:14">
      <c r="A328" s="7">
        <v>327</v>
      </c>
      <c r="B328" s="7">
        <v>70.909578199999999</v>
      </c>
      <c r="D328" s="22">
        <f t="shared" si="35"/>
        <v>0.95317927229991994</v>
      </c>
      <c r="E328" s="11">
        <v>72.080319900000006</v>
      </c>
      <c r="F328" s="28">
        <f t="shared" si="38"/>
        <v>2.1239209722999277</v>
      </c>
      <c r="G328" s="22">
        <f t="shared" si="36"/>
        <v>0.90855072514220492</v>
      </c>
      <c r="H328" s="11">
        <f t="shared" si="37"/>
        <v>2.0244774467993834</v>
      </c>
      <c r="L328" s="24">
        <f t="shared" si="39"/>
        <v>5111.1850806300663</v>
      </c>
      <c r="M328" s="22">
        <f t="shared" si="40"/>
        <v>5195.5725168863373</v>
      </c>
      <c r="N328" s="11">
        <f t="shared" si="41"/>
        <v>0.98375781764531245</v>
      </c>
    </row>
    <row r="329" spans="1:14">
      <c r="A329" s="7">
        <v>328</v>
      </c>
      <c r="B329" s="7">
        <v>69.662073969999994</v>
      </c>
      <c r="D329" s="22">
        <f t="shared" si="35"/>
        <v>-0.29432495770008416</v>
      </c>
      <c r="E329" s="11">
        <v>70.909578199999999</v>
      </c>
      <c r="F329" s="28">
        <f t="shared" si="38"/>
        <v>0.95317927229991994</v>
      </c>
      <c r="G329" s="22">
        <f t="shared" si="36"/>
        <v>8.6627180725156322E-2</v>
      </c>
      <c r="H329" s="11">
        <f t="shared" si="37"/>
        <v>-0.28054444900027092</v>
      </c>
      <c r="L329" s="24">
        <f t="shared" si="39"/>
        <v>4939.7082817498986</v>
      </c>
      <c r="M329" s="22">
        <f t="shared" si="40"/>
        <v>5028.1682805019154</v>
      </c>
      <c r="N329" s="11">
        <f t="shared" si="41"/>
        <v>0.98240711252742985</v>
      </c>
    </row>
    <row r="330" spans="1:14">
      <c r="A330" s="7">
        <v>329</v>
      </c>
      <c r="B330" s="7">
        <v>69.888852170000007</v>
      </c>
      <c r="D330" s="22">
        <f t="shared" si="35"/>
        <v>-6.754675770007168E-2</v>
      </c>
      <c r="E330" s="11">
        <v>69.662073969999994</v>
      </c>
      <c r="F330" s="28">
        <f t="shared" si="38"/>
        <v>-0.29432495770008416</v>
      </c>
      <c r="G330" s="22">
        <f t="shared" si="36"/>
        <v>4.5625644757921928E-3</v>
      </c>
      <c r="H330" s="11">
        <f t="shared" si="37"/>
        <v>1.9880696602851432E-2</v>
      </c>
      <c r="L330" s="24">
        <f t="shared" si="39"/>
        <v>4868.6023895449352</v>
      </c>
      <c r="M330" s="22">
        <f t="shared" si="40"/>
        <v>4852.8045498017509</v>
      </c>
      <c r="N330" s="11">
        <f t="shared" si="41"/>
        <v>1.0032554040825381</v>
      </c>
    </row>
    <row r="331" spans="1:14">
      <c r="A331" s="7">
        <v>330</v>
      </c>
      <c r="B331" s="7">
        <v>71.50601107</v>
      </c>
      <c r="D331" s="22">
        <f t="shared" si="35"/>
        <v>1.5496121422999209</v>
      </c>
      <c r="E331" s="11">
        <v>69.888852170000007</v>
      </c>
      <c r="F331" s="28">
        <f t="shared" si="38"/>
        <v>-6.754675770007168E-2</v>
      </c>
      <c r="G331" s="22">
        <f t="shared" si="36"/>
        <v>2.4012977915633504</v>
      </c>
      <c r="H331" s="11">
        <f t="shared" si="37"/>
        <v>-0.10467127590502176</v>
      </c>
      <c r="L331" s="24">
        <f t="shared" si="39"/>
        <v>4997.4730369376139</v>
      </c>
      <c r="M331" s="22">
        <f t="shared" si="40"/>
        <v>4884.4516576401147</v>
      </c>
      <c r="N331" s="11">
        <f t="shared" si="41"/>
        <v>1.0231390107261507</v>
      </c>
    </row>
    <row r="332" spans="1:14">
      <c r="A332" s="7">
        <v>331</v>
      </c>
      <c r="B332" s="7">
        <v>72.529721739999999</v>
      </c>
      <c r="D332" s="22">
        <f t="shared" si="35"/>
        <v>2.5733228122999208</v>
      </c>
      <c r="E332" s="11">
        <v>71.50601107</v>
      </c>
      <c r="F332" s="28">
        <f t="shared" si="38"/>
        <v>1.5496121422999209</v>
      </c>
      <c r="G332" s="22">
        <f t="shared" si="36"/>
        <v>6.6219902963031734</v>
      </c>
      <c r="H332" s="11">
        <f t="shared" si="37"/>
        <v>3.9876522759973376</v>
      </c>
      <c r="L332" s="24">
        <f t="shared" si="39"/>
        <v>5186.31108564446</v>
      </c>
      <c r="M332" s="22">
        <f t="shared" si="40"/>
        <v>5113.1096191429624</v>
      </c>
      <c r="N332" s="11">
        <f t="shared" si="41"/>
        <v>1.0143164281531221</v>
      </c>
    </row>
    <row r="333" spans="1:14">
      <c r="A333" s="7">
        <v>332</v>
      </c>
      <c r="B333" s="7">
        <v>70.80745709</v>
      </c>
      <c r="D333" s="22">
        <f t="shared" si="35"/>
        <v>0.85105816229992115</v>
      </c>
      <c r="E333" s="11">
        <v>72.529721739999999</v>
      </c>
      <c r="F333" s="28">
        <f t="shared" si="38"/>
        <v>2.5733228122999208</v>
      </c>
      <c r="G333" s="22">
        <f t="shared" si="36"/>
        <v>0.72429999561731895</v>
      </c>
      <c r="H333" s="11">
        <f t="shared" si="37"/>
        <v>2.1900473836404357</v>
      </c>
      <c r="L333" s="24">
        <f t="shared" si="39"/>
        <v>5135.6451598546901</v>
      </c>
      <c r="M333" s="22">
        <f t="shared" si="40"/>
        <v>5260.5605356818287</v>
      </c>
      <c r="N333" s="11">
        <f t="shared" si="41"/>
        <v>0.97625436016183997</v>
      </c>
    </row>
    <row r="334" spans="1:14">
      <c r="A334" s="7">
        <v>333</v>
      </c>
      <c r="B334" s="7">
        <v>70.03388898</v>
      </c>
      <c r="D334" s="22">
        <f t="shared" si="35"/>
        <v>7.7490052299921786E-2</v>
      </c>
      <c r="E334" s="11">
        <v>70.80745709</v>
      </c>
      <c r="F334" s="28">
        <f t="shared" si="38"/>
        <v>0.85105816229992115</v>
      </c>
      <c r="G334" s="22">
        <f t="shared" si="36"/>
        <v>6.0047082054446137E-3</v>
      </c>
      <c r="H334" s="11">
        <f t="shared" si="37"/>
        <v>6.5948541506896219E-2</v>
      </c>
      <c r="L334" s="24">
        <f t="shared" si="39"/>
        <v>4958.9215887971741</v>
      </c>
      <c r="M334" s="22">
        <f t="shared" si="40"/>
        <v>5013.6959795521916</v>
      </c>
      <c r="N334" s="11">
        <f t="shared" si="41"/>
        <v>0.98907504743438601</v>
      </c>
    </row>
    <row r="335" spans="1:14">
      <c r="A335" s="7">
        <v>334</v>
      </c>
      <c r="B335" s="7">
        <v>68.400012790000005</v>
      </c>
      <c r="D335" s="22">
        <f t="shared" si="35"/>
        <v>-1.5563861377000734</v>
      </c>
      <c r="E335" s="11">
        <v>70.03388898</v>
      </c>
      <c r="F335" s="28">
        <f t="shared" si="38"/>
        <v>7.7490052299921786E-2</v>
      </c>
      <c r="G335" s="22">
        <f t="shared" si="36"/>
        <v>2.4223378096249517</v>
      </c>
      <c r="H335" s="11">
        <f t="shared" si="37"/>
        <v>-0.12060444320925195</v>
      </c>
      <c r="L335" s="24">
        <f t="shared" si="39"/>
        <v>4790.3189019654401</v>
      </c>
      <c r="M335" s="22">
        <f t="shared" si="40"/>
        <v>4904.7456056629653</v>
      </c>
      <c r="N335" s="11">
        <f t="shared" si="41"/>
        <v>0.97667020618451461</v>
      </c>
    </row>
    <row r="336" spans="1:14">
      <c r="A336" s="7">
        <v>335</v>
      </c>
      <c r="B336" s="7">
        <v>68.71786487</v>
      </c>
      <c r="D336" s="22">
        <f t="shared" si="35"/>
        <v>-1.238534057700079</v>
      </c>
      <c r="E336" s="11">
        <v>68.400012790000005</v>
      </c>
      <c r="F336" s="28">
        <f t="shared" si="38"/>
        <v>-1.5563861377000734</v>
      </c>
      <c r="G336" s="22">
        <f t="shared" si="36"/>
        <v>1.5339666120830224</v>
      </c>
      <c r="H336" s="11">
        <f t="shared" si="37"/>
        <v>1.9276372384738258</v>
      </c>
      <c r="L336" s="24">
        <f t="shared" si="39"/>
        <v>4700.3028360094922</v>
      </c>
      <c r="M336" s="22">
        <f t="shared" si="40"/>
        <v>4678.5617496721643</v>
      </c>
      <c r="N336" s="11">
        <f t="shared" si="41"/>
        <v>1.0046469593649909</v>
      </c>
    </row>
    <row r="337" spans="1:14">
      <c r="A337" s="7">
        <v>336</v>
      </c>
      <c r="B337" s="7">
        <v>68.870424689999993</v>
      </c>
      <c r="D337" s="22">
        <f t="shared" si="35"/>
        <v>-1.0859742377000856</v>
      </c>
      <c r="E337" s="11">
        <v>68.71786487</v>
      </c>
      <c r="F337" s="28">
        <f t="shared" si="38"/>
        <v>-1.238534057700079</v>
      </c>
      <c r="G337" s="22">
        <f t="shared" si="36"/>
        <v>1.179340044948282</v>
      </c>
      <c r="H337" s="11">
        <f t="shared" si="37"/>
        <v>1.3450160791764372</v>
      </c>
      <c r="L337" s="24">
        <f t="shared" si="39"/>
        <v>4732.6285373869314</v>
      </c>
      <c r="M337" s="22">
        <f t="shared" si="40"/>
        <v>4722.14495229158</v>
      </c>
      <c r="N337" s="11">
        <f t="shared" si="41"/>
        <v>1.0022200896417346</v>
      </c>
    </row>
    <row r="338" spans="1:14">
      <c r="A338" s="7">
        <v>337</v>
      </c>
      <c r="B338" s="7">
        <v>68.700063599999993</v>
      </c>
      <c r="D338" s="22">
        <f t="shared" si="35"/>
        <v>-1.2563353277000857</v>
      </c>
      <c r="E338" s="11">
        <v>68.870424689999993</v>
      </c>
      <c r="F338" s="28">
        <f t="shared" si="38"/>
        <v>-1.0859742377000856</v>
      </c>
      <c r="G338" s="22">
        <f t="shared" si="36"/>
        <v>1.5783784556272817</v>
      </c>
      <c r="H338" s="11">
        <f t="shared" si="37"/>
        <v>1.3643477997947879</v>
      </c>
      <c r="L338" s="24">
        <f t="shared" si="39"/>
        <v>4731.4025563620089</v>
      </c>
      <c r="M338" s="22">
        <f t="shared" si="40"/>
        <v>4743.1353969809606</v>
      </c>
      <c r="N338" s="11">
        <f t="shared" si="41"/>
        <v>0.99752635342722462</v>
      </c>
    </row>
    <row r="339" spans="1:14">
      <c r="A339" s="7">
        <v>338</v>
      </c>
      <c r="B339" s="7">
        <v>71.240487470000005</v>
      </c>
      <c r="D339" s="22">
        <f t="shared" si="35"/>
        <v>1.2840885422999264</v>
      </c>
      <c r="E339" s="11">
        <v>68.700063599999993</v>
      </c>
      <c r="F339" s="28">
        <f t="shared" si="38"/>
        <v>-1.2563353277000857</v>
      </c>
      <c r="G339" s="22">
        <f t="shared" si="36"/>
        <v>1.6488833844659498</v>
      </c>
      <c r="H339" s="11">
        <f t="shared" si="37"/>
        <v>-1.6132457995863034</v>
      </c>
      <c r="L339" s="24">
        <f t="shared" si="39"/>
        <v>4894.2260200840028</v>
      </c>
      <c r="M339" s="22">
        <f t="shared" si="40"/>
        <v>4719.6987386440442</v>
      </c>
      <c r="N339" s="11">
        <f t="shared" si="41"/>
        <v>1.0369784791582057</v>
      </c>
    </row>
    <row r="340" spans="1:14">
      <c r="A340" s="7">
        <v>339</v>
      </c>
      <c r="B340" s="7">
        <v>70.341986739999996</v>
      </c>
      <c r="D340" s="22">
        <f t="shared" si="35"/>
        <v>0.38558781229991723</v>
      </c>
      <c r="E340" s="11">
        <v>71.240487470000005</v>
      </c>
      <c r="F340" s="28">
        <f t="shared" si="38"/>
        <v>1.2840885422999264</v>
      </c>
      <c r="G340" s="22">
        <f t="shared" si="36"/>
        <v>0.14867796099423619</v>
      </c>
      <c r="H340" s="11">
        <f t="shared" si="37"/>
        <v>0.49512889182481834</v>
      </c>
      <c r="L340" s="24">
        <f t="shared" si="39"/>
        <v>5011.1974249658761</v>
      </c>
      <c r="M340" s="22">
        <f t="shared" si="40"/>
        <v>5075.2070549632281</v>
      </c>
      <c r="N340" s="11">
        <f t="shared" si="41"/>
        <v>0.98738777959122781</v>
      </c>
    </row>
    <row r="341" spans="1:14">
      <c r="A341" s="7">
        <v>340</v>
      </c>
      <c r="B341" s="7">
        <v>69.301439900000005</v>
      </c>
      <c r="D341" s="22">
        <f t="shared" si="35"/>
        <v>-0.65495902770007319</v>
      </c>
      <c r="E341" s="11">
        <v>70.341986739999996</v>
      </c>
      <c r="F341" s="28">
        <f t="shared" si="38"/>
        <v>0.38558781229991723</v>
      </c>
      <c r="G341" s="22">
        <f t="shared" si="36"/>
        <v>0.42897132796582527</v>
      </c>
      <c r="H341" s="11">
        <f t="shared" si="37"/>
        <v>-0.25254421863695209</v>
      </c>
      <c r="L341" s="24">
        <f t="shared" si="39"/>
        <v>4874.8009665087075</v>
      </c>
      <c r="M341" s="22">
        <f t="shared" si="40"/>
        <v>4947.9950985303349</v>
      </c>
      <c r="N341" s="11">
        <f t="shared" si="41"/>
        <v>0.9852073151722871</v>
      </c>
    </row>
    <row r="342" spans="1:14">
      <c r="A342" s="7">
        <v>341</v>
      </c>
      <c r="B342" s="7">
        <v>69.844116700000001</v>
      </c>
      <c r="D342" s="22">
        <f t="shared" si="35"/>
        <v>-0.1122822277000779</v>
      </c>
      <c r="E342" s="11">
        <v>69.301439900000005</v>
      </c>
      <c r="F342" s="28">
        <f t="shared" si="38"/>
        <v>-0.65495902770007319</v>
      </c>
      <c r="G342" s="22">
        <f t="shared" si="36"/>
        <v>1.260729865729214E-2</v>
      </c>
      <c r="H342" s="11">
        <f t="shared" si="37"/>
        <v>7.354025868244124E-2</v>
      </c>
      <c r="L342" s="24">
        <f t="shared" si="39"/>
        <v>4840.297855853637</v>
      </c>
      <c r="M342" s="22">
        <f t="shared" si="40"/>
        <v>4802.6895722133131</v>
      </c>
      <c r="N342" s="11">
        <f t="shared" si="41"/>
        <v>1.0078306713508849</v>
      </c>
    </row>
    <row r="343" spans="1:14">
      <c r="A343" s="7">
        <v>342</v>
      </c>
      <c r="B343" s="7">
        <v>71.413863320000004</v>
      </c>
      <c r="D343" s="22">
        <f t="shared" si="35"/>
        <v>1.4574643922999257</v>
      </c>
      <c r="E343" s="11">
        <v>69.844116700000001</v>
      </c>
      <c r="F343" s="28">
        <f t="shared" si="38"/>
        <v>-0.1122822277000779</v>
      </c>
      <c r="G343" s="22">
        <f t="shared" si="36"/>
        <v>2.1242024548221918</v>
      </c>
      <c r="H343" s="11">
        <f t="shared" si="37"/>
        <v>-0.16364734876097592</v>
      </c>
      <c r="L343" s="24">
        <f t="shared" si="39"/>
        <v>4987.8382037199299</v>
      </c>
      <c r="M343" s="22">
        <f t="shared" si="40"/>
        <v>4878.2006376032186</v>
      </c>
      <c r="N343" s="11">
        <f t="shared" si="41"/>
        <v>1.0224750013912054</v>
      </c>
    </row>
    <row r="344" spans="1:14">
      <c r="A344" s="7">
        <v>343</v>
      </c>
      <c r="B344" s="7">
        <v>71.376198110000004</v>
      </c>
      <c r="D344" s="22">
        <f t="shared" si="35"/>
        <v>1.4197991822999256</v>
      </c>
      <c r="E344" s="11">
        <v>71.413863320000004</v>
      </c>
      <c r="F344" s="28">
        <f t="shared" si="38"/>
        <v>1.4574643922999257</v>
      </c>
      <c r="G344" s="22">
        <f t="shared" si="36"/>
        <v>2.0158297180595373</v>
      </c>
      <c r="H344" s="11">
        <f t="shared" si="37"/>
        <v>2.0693067524186928</v>
      </c>
      <c r="L344" s="24">
        <f t="shared" si="39"/>
        <v>5097.2500561287825</v>
      </c>
      <c r="M344" s="22">
        <f t="shared" si="40"/>
        <v>5099.9398742876419</v>
      </c>
      <c r="N344" s="11">
        <f t="shared" si="41"/>
        <v>0.9994725784567734</v>
      </c>
    </row>
    <row r="345" spans="1:14">
      <c r="A345" s="7">
        <v>344</v>
      </c>
      <c r="B345" s="7">
        <v>73.160914980000001</v>
      </c>
      <c r="D345" s="22">
        <f t="shared" si="35"/>
        <v>3.2045160522999225</v>
      </c>
      <c r="E345" s="11">
        <v>71.376198110000004</v>
      </c>
      <c r="F345" s="28">
        <f t="shared" si="38"/>
        <v>1.4197991822999256</v>
      </c>
      <c r="G345" s="22">
        <f t="shared" si="36"/>
        <v>10.268923129447879</v>
      </c>
      <c r="H345" s="11">
        <f t="shared" si="37"/>
        <v>4.5497692707224155</v>
      </c>
      <c r="L345" s="24">
        <f t="shared" si="39"/>
        <v>5221.9479615213468</v>
      </c>
      <c r="M345" s="22">
        <f t="shared" si="40"/>
        <v>5094.5616566379686</v>
      </c>
      <c r="N345" s="11">
        <f t="shared" si="41"/>
        <v>1.025004370045733</v>
      </c>
    </row>
    <row r="346" spans="1:14">
      <c r="A346" s="7">
        <v>345</v>
      </c>
      <c r="B346" s="7">
        <v>71.409021580000001</v>
      </c>
      <c r="D346" s="22">
        <f t="shared" si="35"/>
        <v>1.4526226522999224</v>
      </c>
      <c r="E346" s="11">
        <v>73.160914980000001</v>
      </c>
      <c r="F346" s="28">
        <f t="shared" si="38"/>
        <v>3.2045160522999225</v>
      </c>
      <c r="G346" s="22">
        <f t="shared" si="36"/>
        <v>2.1101125699748611</v>
      </c>
      <c r="H346" s="11">
        <f t="shared" si="37"/>
        <v>4.6549526072295899</v>
      </c>
      <c r="L346" s="24">
        <f t="shared" si="39"/>
        <v>5224.3493566193656</v>
      </c>
      <c r="M346" s="22">
        <f t="shared" si="40"/>
        <v>5352.5194807107882</v>
      </c>
      <c r="N346" s="11">
        <f t="shared" si="41"/>
        <v>0.97605424425762155</v>
      </c>
    </row>
    <row r="347" spans="1:14">
      <c r="A347" s="7">
        <v>346</v>
      </c>
      <c r="B347" s="7">
        <v>70.155854890000001</v>
      </c>
      <c r="D347" s="22">
        <f t="shared" si="35"/>
        <v>0.19945596229992191</v>
      </c>
      <c r="E347" s="11">
        <v>71.409021580000001</v>
      </c>
      <c r="F347" s="28">
        <f t="shared" si="38"/>
        <v>1.4526226522999224</v>
      </c>
      <c r="G347" s="22">
        <f t="shared" si="36"/>
        <v>3.9782680896987867E-2</v>
      </c>
      <c r="H347" s="11">
        <f t="shared" si="37"/>
        <v>0.28973424897314587</v>
      </c>
      <c r="L347" s="24">
        <f t="shared" si="39"/>
        <v>5009.7609558033582</v>
      </c>
      <c r="M347" s="22">
        <f t="shared" si="40"/>
        <v>5099.2483630129054</v>
      </c>
      <c r="N347" s="11">
        <f t="shared" si="41"/>
        <v>0.98245086317845609</v>
      </c>
    </row>
    <row r="348" spans="1:14">
      <c r="A348" s="7">
        <v>347</v>
      </c>
      <c r="B348" s="7">
        <v>69.946407140000005</v>
      </c>
      <c r="D348" s="22">
        <f t="shared" si="35"/>
        <v>-9.9917877000734734E-3</v>
      </c>
      <c r="E348" s="11">
        <v>70.155854890000001</v>
      </c>
      <c r="F348" s="28">
        <f t="shared" si="38"/>
        <v>0.19945596229992191</v>
      </c>
      <c r="G348" s="22">
        <f t="shared" si="36"/>
        <v>9.9835821443339546E-5</v>
      </c>
      <c r="H348" s="11">
        <f t="shared" si="37"/>
        <v>-1.9929216308146782E-3</v>
      </c>
      <c r="L348" s="24">
        <f t="shared" si="39"/>
        <v>4907.1499893907003</v>
      </c>
      <c r="M348" s="22">
        <f t="shared" si="40"/>
        <v>4921.8439753467374</v>
      </c>
      <c r="N348" s="11">
        <f t="shared" si="41"/>
        <v>0.99701453641569326</v>
      </c>
    </row>
    <row r="349" spans="1:14">
      <c r="A349" s="7">
        <v>348</v>
      </c>
      <c r="B349" s="7">
        <v>71.356137200000006</v>
      </c>
      <c r="D349" s="22">
        <f t="shared" si="35"/>
        <v>1.3997382722999276</v>
      </c>
      <c r="E349" s="11">
        <v>69.946407140000005</v>
      </c>
      <c r="F349" s="28">
        <f t="shared" si="38"/>
        <v>-9.9917877000734734E-3</v>
      </c>
      <c r="G349" s="22">
        <f t="shared" si="36"/>
        <v>1.9592672309411865</v>
      </c>
      <c r="H349" s="11">
        <f t="shared" si="37"/>
        <v>-1.3985887652488512E-2</v>
      </c>
      <c r="L349" s="24">
        <f t="shared" si="39"/>
        <v>4991.1054245289006</v>
      </c>
      <c r="M349" s="22">
        <f t="shared" si="40"/>
        <v>4892.4998717946437</v>
      </c>
      <c r="N349" s="11">
        <f t="shared" si="41"/>
        <v>1.0201544313373865</v>
      </c>
    </row>
    <row r="350" spans="1:14">
      <c r="A350" s="7">
        <v>349</v>
      </c>
      <c r="B350" s="7">
        <v>71.336999129999995</v>
      </c>
      <c r="D350" s="22">
        <f t="shared" si="35"/>
        <v>1.3806002022999166</v>
      </c>
      <c r="E350" s="11">
        <v>71.356137200000006</v>
      </c>
      <c r="F350" s="28">
        <f t="shared" si="38"/>
        <v>1.3997382722999276</v>
      </c>
      <c r="G350" s="22">
        <f t="shared" si="36"/>
        <v>1.9060569185905707</v>
      </c>
      <c r="H350" s="11">
        <f t="shared" si="37"/>
        <v>1.9324789419042159</v>
      </c>
      <c r="L350" s="24">
        <f t="shared" si="39"/>
        <v>5090.3326973565609</v>
      </c>
      <c r="M350" s="22">
        <f t="shared" si="40"/>
        <v>5091.6983161052249</v>
      </c>
      <c r="N350" s="11">
        <f t="shared" si="41"/>
        <v>0.99973179503892751</v>
      </c>
    </row>
    <row r="351" spans="1:14">
      <c r="A351" s="7">
        <v>350</v>
      </c>
      <c r="B351" s="7">
        <v>70.279128619999994</v>
      </c>
      <c r="D351" s="22">
        <f t="shared" si="35"/>
        <v>0.32272969229991588</v>
      </c>
      <c r="E351" s="11">
        <v>71.336999129999995</v>
      </c>
      <c r="F351" s="28">
        <f t="shared" si="38"/>
        <v>1.3806002022999166</v>
      </c>
      <c r="G351" s="22">
        <f t="shared" si="36"/>
        <v>0.10415445429199839</v>
      </c>
      <c r="H351" s="11">
        <f t="shared" si="37"/>
        <v>0.44556067847745373</v>
      </c>
      <c r="L351" s="24">
        <f t="shared" si="39"/>
        <v>5013.5021372220972</v>
      </c>
      <c r="M351" s="22">
        <f t="shared" si="40"/>
        <v>5088.9674448736205</v>
      </c>
      <c r="N351" s="11">
        <f t="shared" si="41"/>
        <v>0.98517080164709181</v>
      </c>
    </row>
    <row r="352" spans="1:14">
      <c r="A352" s="7">
        <v>351</v>
      </c>
      <c r="B352" s="7">
        <v>68.81888884</v>
      </c>
      <c r="D352" s="22">
        <f t="shared" si="35"/>
        <v>-1.137510087700079</v>
      </c>
      <c r="E352" s="11">
        <v>70.279128619999994</v>
      </c>
      <c r="F352" s="28">
        <f t="shared" si="38"/>
        <v>0.32272969229991588</v>
      </c>
      <c r="G352" s="22">
        <f t="shared" si="36"/>
        <v>1.2939291996194413</v>
      </c>
      <c r="H352" s="11">
        <f t="shared" si="37"/>
        <v>-0.36710828059149681</v>
      </c>
      <c r="L352" s="24">
        <f t="shared" si="39"/>
        <v>4836.5315402718425</v>
      </c>
      <c r="M352" s="22">
        <f t="shared" si="40"/>
        <v>4939.155919586502</v>
      </c>
      <c r="N352" s="11">
        <f t="shared" si="41"/>
        <v>0.97922228393161337</v>
      </c>
    </row>
    <row r="353" spans="1:14">
      <c r="A353" s="7">
        <v>352</v>
      </c>
      <c r="B353" s="7">
        <v>69.452038169999994</v>
      </c>
      <c r="D353" s="22">
        <f t="shared" si="35"/>
        <v>-0.50436075770008415</v>
      </c>
      <c r="E353" s="11">
        <v>68.81888884</v>
      </c>
      <c r="F353" s="28">
        <f t="shared" si="38"/>
        <v>-1.137510087700079</v>
      </c>
      <c r="G353" s="22">
        <f t="shared" si="36"/>
        <v>0.25437977390780298</v>
      </c>
      <c r="H353" s="11">
        <f t="shared" si="37"/>
        <v>0.57371544972390098</v>
      </c>
      <c r="L353" s="24">
        <f t="shared" si="39"/>
        <v>4779.6120945326666</v>
      </c>
      <c r="M353" s="22">
        <f t="shared" si="40"/>
        <v>4736.0394611722768</v>
      </c>
      <c r="N353" s="11">
        <f t="shared" si="41"/>
        <v>1.0092002259942328</v>
      </c>
    </row>
    <row r="354" spans="1:14">
      <c r="A354" s="7">
        <v>353</v>
      </c>
      <c r="B354" s="7">
        <v>71.426901079999993</v>
      </c>
      <c r="D354" s="22">
        <f t="shared" si="35"/>
        <v>1.4705021522999147</v>
      </c>
      <c r="E354" s="11">
        <v>69.452038169999994</v>
      </c>
      <c r="F354" s="28">
        <f t="shared" si="38"/>
        <v>-0.50436075770008415</v>
      </c>
      <c r="G354" s="22">
        <f t="shared" si="36"/>
        <v>2.1623765799186816</v>
      </c>
      <c r="H354" s="11">
        <f t="shared" si="37"/>
        <v>-0.74166357973358954</v>
      </c>
      <c r="L354" s="24">
        <f t="shared" si="39"/>
        <v>4960.7438601729737</v>
      </c>
      <c r="M354" s="22">
        <f t="shared" si="40"/>
        <v>4823.585605967136</v>
      </c>
      <c r="N354" s="11">
        <f t="shared" si="41"/>
        <v>1.0284349165558837</v>
      </c>
    </row>
    <row r="355" spans="1:14">
      <c r="A355" s="7">
        <v>354</v>
      </c>
      <c r="B355" s="7">
        <v>70.610147400000002</v>
      </c>
      <c r="D355" s="22">
        <f t="shared" si="35"/>
        <v>0.65374847229992383</v>
      </c>
      <c r="E355" s="11">
        <v>71.426901079999993</v>
      </c>
      <c r="F355" s="28">
        <f t="shared" si="38"/>
        <v>1.4705021522999147</v>
      </c>
      <c r="G355" s="22">
        <f t="shared" si="36"/>
        <v>0.42738706503448426</v>
      </c>
      <c r="H355" s="11">
        <f t="shared" si="37"/>
        <v>0.96133853557981919</v>
      </c>
      <c r="L355" s="24">
        <f t="shared" si="39"/>
        <v>5043.4640135840191</v>
      </c>
      <c r="M355" s="22">
        <f t="shared" si="40"/>
        <v>5101.8021978921042</v>
      </c>
      <c r="N355" s="11">
        <f t="shared" si="41"/>
        <v>0.98856518107813185</v>
      </c>
    </row>
    <row r="356" spans="1:14">
      <c r="A356" s="7">
        <v>355</v>
      </c>
      <c r="B356" s="7">
        <v>70.466961740000002</v>
      </c>
      <c r="D356" s="22">
        <f t="shared" si="35"/>
        <v>0.51056281229992351</v>
      </c>
      <c r="E356" s="11">
        <v>70.610147400000002</v>
      </c>
      <c r="F356" s="28">
        <f t="shared" si="38"/>
        <v>0.65374847229992383</v>
      </c>
      <c r="G356" s="22">
        <f t="shared" si="36"/>
        <v>0.26067438530360693</v>
      </c>
      <c r="H356" s="11">
        <f t="shared" si="37"/>
        <v>0.33377965855422775</v>
      </c>
      <c r="L356" s="24">
        <f t="shared" si="39"/>
        <v>4975.6825552915607</v>
      </c>
      <c r="M356" s="22">
        <f t="shared" si="40"/>
        <v>4985.7929158497273</v>
      </c>
      <c r="N356" s="11">
        <f t="shared" si="41"/>
        <v>0.99797216596661564</v>
      </c>
    </row>
    <row r="357" spans="1:14">
      <c r="A357" s="7">
        <v>356</v>
      </c>
      <c r="B357" s="7">
        <v>70.343280609999994</v>
      </c>
      <c r="D357" s="22">
        <f t="shared" si="35"/>
        <v>0.38688168229991504</v>
      </c>
      <c r="E357" s="11">
        <v>70.466961740000002</v>
      </c>
      <c r="F357" s="28">
        <f t="shared" si="38"/>
        <v>0.51056281229992351</v>
      </c>
      <c r="G357" s="22">
        <f t="shared" si="36"/>
        <v>0.14967743609921239</v>
      </c>
      <c r="H357" s="11">
        <f t="shared" si="37"/>
        <v>0.19752739974237016</v>
      </c>
      <c r="L357" s="24">
        <f t="shared" si="39"/>
        <v>4956.8772634109537</v>
      </c>
      <c r="M357" s="22">
        <f t="shared" si="40"/>
        <v>4965.5926968666245</v>
      </c>
      <c r="N357" s="11">
        <f t="shared" si="41"/>
        <v>0.99824483521148033</v>
      </c>
    </row>
    <row r="358" spans="1:14">
      <c r="A358" s="7">
        <v>357</v>
      </c>
      <c r="B358" s="7">
        <v>70.929399500000002</v>
      </c>
      <c r="D358" s="22">
        <f t="shared" si="35"/>
        <v>0.97300057229992376</v>
      </c>
      <c r="E358" s="11">
        <v>70.343280609999994</v>
      </c>
      <c r="F358" s="28">
        <f t="shared" si="38"/>
        <v>0.38688168229991504</v>
      </c>
      <c r="G358" s="22">
        <f t="shared" si="36"/>
        <v>0.94673011369597915</v>
      </c>
      <c r="H358" s="11">
        <f t="shared" si="37"/>
        <v>0.3764360982901746</v>
      </c>
      <c r="L358" s="24">
        <f t="shared" si="39"/>
        <v>4989.4066525272938</v>
      </c>
      <c r="M358" s="22">
        <f t="shared" si="40"/>
        <v>4948.1771269772007</v>
      </c>
      <c r="N358" s="11">
        <f t="shared" si="41"/>
        <v>1.0083322654973914</v>
      </c>
    </row>
    <row r="359" spans="1:14">
      <c r="A359" s="7">
        <v>358</v>
      </c>
      <c r="B359" s="7">
        <v>69.649901779999993</v>
      </c>
      <c r="D359" s="22">
        <f t="shared" si="35"/>
        <v>-0.30649714770008529</v>
      </c>
      <c r="E359" s="11">
        <v>70.929399500000002</v>
      </c>
      <c r="F359" s="28">
        <f t="shared" si="38"/>
        <v>0.97300057229992376</v>
      </c>
      <c r="G359" s="22">
        <f t="shared" si="36"/>
        <v>9.3940501548287897E-2</v>
      </c>
      <c r="H359" s="11">
        <f t="shared" si="37"/>
        <v>-0.29822190012047728</v>
      </c>
      <c r="L359" s="24">
        <f t="shared" si="39"/>
        <v>4940.2257084893808</v>
      </c>
      <c r="M359" s="22">
        <f t="shared" si="40"/>
        <v>5030.9797134306009</v>
      </c>
      <c r="N359" s="11">
        <f t="shared" si="41"/>
        <v>0.98196096782124864</v>
      </c>
    </row>
    <row r="360" spans="1:14">
      <c r="A360" s="7">
        <v>359</v>
      </c>
      <c r="B360" s="7">
        <v>71.857768250000007</v>
      </c>
      <c r="D360" s="22">
        <f t="shared" si="35"/>
        <v>1.9013693222999279</v>
      </c>
      <c r="E360" s="11">
        <v>69.649901779999993</v>
      </c>
      <c r="F360" s="28">
        <f t="shared" si="38"/>
        <v>-0.30649714770008529</v>
      </c>
      <c r="G360" s="22">
        <f t="shared" si="36"/>
        <v>3.6152052997832871</v>
      </c>
      <c r="H360" s="11">
        <f t="shared" si="37"/>
        <v>-0.58276427400937214</v>
      </c>
      <c r="L360" s="24">
        <f t="shared" si="39"/>
        <v>5004.8865007425029</v>
      </c>
      <c r="M360" s="22">
        <f t="shared" si="40"/>
        <v>4851.1088179636463</v>
      </c>
      <c r="N360" s="11">
        <f t="shared" si="41"/>
        <v>1.0316994915078834</v>
      </c>
    </row>
    <row r="361" spans="1:14">
      <c r="A361" s="7">
        <v>360</v>
      </c>
      <c r="B361" s="7">
        <v>69.940529310000002</v>
      </c>
      <c r="D361" s="22">
        <f t="shared" si="35"/>
        <v>-1.5869617700076333E-2</v>
      </c>
      <c r="E361" s="11">
        <v>71.857768250000007</v>
      </c>
      <c r="F361" s="28">
        <f t="shared" si="38"/>
        <v>1.9013693222999279</v>
      </c>
      <c r="G361" s="22">
        <f t="shared" si="36"/>
        <v>2.5184476594657606E-4</v>
      </c>
      <c r="H361" s="11">
        <f t="shared" si="37"/>
        <v>-3.0174004251553078E-2</v>
      </c>
      <c r="L361" s="24">
        <f t="shared" si="39"/>
        <v>5025.770346440313</v>
      </c>
      <c r="M361" s="22">
        <f t="shared" si="40"/>
        <v>5163.5388578707089</v>
      </c>
      <c r="N361" s="11">
        <f t="shared" si="41"/>
        <v>0.97331897459812911</v>
      </c>
    </row>
    <row r="362" spans="1:14">
      <c r="A362" s="7">
        <v>361</v>
      </c>
      <c r="B362" s="7">
        <v>69.041436020000006</v>
      </c>
      <c r="D362" s="22">
        <f t="shared" si="35"/>
        <v>-0.91496290770007249</v>
      </c>
      <c r="E362" s="11">
        <v>69.940529310000002</v>
      </c>
      <c r="F362" s="28">
        <f t="shared" si="38"/>
        <v>-1.5869617700076333E-2</v>
      </c>
      <c r="G362" s="22">
        <f t="shared" si="36"/>
        <v>0.83715712246697138</v>
      </c>
      <c r="H362" s="11">
        <f t="shared" si="37"/>
        <v>1.4520111554950378E-2</v>
      </c>
      <c r="L362" s="24">
        <f t="shared" si="39"/>
        <v>4828.7945795613005</v>
      </c>
      <c r="M362" s="22">
        <f t="shared" si="40"/>
        <v>4891.6776401629695</v>
      </c>
      <c r="N362" s="11">
        <f t="shared" si="41"/>
        <v>0.9871448886808547</v>
      </c>
    </row>
    <row r="363" spans="1:14">
      <c r="A363" s="7">
        <v>362</v>
      </c>
      <c r="B363" s="7">
        <v>70.380795359999993</v>
      </c>
      <c r="D363" s="22">
        <f t="shared" si="35"/>
        <v>0.42439643229991475</v>
      </c>
      <c r="E363" s="11">
        <v>69.041436020000006</v>
      </c>
      <c r="F363" s="28">
        <f t="shared" si="38"/>
        <v>-0.91496290770007249</v>
      </c>
      <c r="G363" s="22">
        <f t="shared" si="36"/>
        <v>0.18011233174889613</v>
      </c>
      <c r="H363" s="11">
        <f t="shared" si="37"/>
        <v>-0.38830699371466698</v>
      </c>
      <c r="L363" s="24">
        <f t="shared" si="39"/>
        <v>4859.1911798841529</v>
      </c>
      <c r="M363" s="22">
        <f t="shared" si="40"/>
        <v>4766.7198877037545</v>
      </c>
      <c r="N363" s="11">
        <f t="shared" si="41"/>
        <v>1.0193993551873979</v>
      </c>
    </row>
    <row r="364" spans="1:14">
      <c r="A364" s="7">
        <v>363</v>
      </c>
      <c r="B364" s="7">
        <v>70.812779579999997</v>
      </c>
      <c r="D364" s="22">
        <f t="shared" si="35"/>
        <v>0.85638065229991867</v>
      </c>
      <c r="E364" s="11">
        <v>70.380795359999993</v>
      </c>
      <c r="F364" s="28">
        <f t="shared" si="38"/>
        <v>0.42439643229991475</v>
      </c>
      <c r="G364" s="22">
        <f t="shared" si="36"/>
        <v>0.73338782163363414</v>
      </c>
      <c r="H364" s="11">
        <f t="shared" si="37"/>
        <v>0.36344489352675924</v>
      </c>
      <c r="L364" s="24">
        <f t="shared" si="39"/>
        <v>4983.8597484927659</v>
      </c>
      <c r="M364" s="22">
        <f t="shared" si="40"/>
        <v>4953.4563555061968</v>
      </c>
      <c r="N364" s="11">
        <f t="shared" si="41"/>
        <v>1.0061378138424037</v>
      </c>
    </row>
    <row r="365" spans="1:14">
      <c r="A365" s="7">
        <v>364</v>
      </c>
      <c r="B365" s="7">
        <v>71.203415300000003</v>
      </c>
      <c r="D365" s="22">
        <f t="shared" si="35"/>
        <v>1.2470163722999246</v>
      </c>
      <c r="E365" s="11">
        <v>70.812779579999997</v>
      </c>
      <c r="F365" s="28">
        <f t="shared" si="38"/>
        <v>0.85638065229991867</v>
      </c>
      <c r="G365" s="22">
        <f t="shared" si="36"/>
        <v>1.5550498327840641</v>
      </c>
      <c r="H365" s="11">
        <f t="shared" si="37"/>
        <v>1.0679206943388877</v>
      </c>
      <c r="L365" s="24">
        <f t="shared" si="39"/>
        <v>5042.1117529820995</v>
      </c>
      <c r="M365" s="22">
        <f t="shared" si="40"/>
        <v>5014.4497518456647</v>
      </c>
      <c r="N365" s="11">
        <f t="shared" si="41"/>
        <v>1.0055164579376339</v>
      </c>
    </row>
    <row r="366" spans="1:14">
      <c r="A366" s="7">
        <v>365</v>
      </c>
      <c r="B366" s="7">
        <v>69.982112970000003</v>
      </c>
      <c r="D366" s="22">
        <f t="shared" si="35"/>
        <v>2.5714042299924245E-2</v>
      </c>
      <c r="E366" s="11">
        <v>71.203415300000003</v>
      </c>
      <c r="F366" s="28">
        <f t="shared" si="38"/>
        <v>1.2470163722999246</v>
      </c>
      <c r="G366" s="22">
        <f t="shared" si="36"/>
        <v>6.6121197140229333E-4</v>
      </c>
      <c r="H366" s="11">
        <f t="shared" si="37"/>
        <v>3.206583174601834E-2</v>
      </c>
      <c r="L366" s="24">
        <f t="shared" si="39"/>
        <v>4982.9654533744269</v>
      </c>
      <c r="M366" s="22">
        <f t="shared" si="40"/>
        <v>5069.9263503842749</v>
      </c>
      <c r="N366" s="11">
        <f t="shared" si="41"/>
        <v>0.98284770014395639</v>
      </c>
    </row>
    <row r="367" spans="1:14">
      <c r="A367" s="7">
        <v>366</v>
      </c>
      <c r="B367" s="7">
        <v>69.553438209999996</v>
      </c>
      <c r="D367" s="22">
        <f t="shared" si="35"/>
        <v>-0.40296071770008268</v>
      </c>
      <c r="E367" s="11">
        <v>69.982112970000003</v>
      </c>
      <c r="F367" s="28">
        <f t="shared" si="38"/>
        <v>2.5714042299924245E-2</v>
      </c>
      <c r="G367" s="22">
        <f t="shared" si="36"/>
        <v>0.16237734000936574</v>
      </c>
      <c r="H367" s="11">
        <f t="shared" si="37"/>
        <v>-1.0361748940147759E-2</v>
      </c>
      <c r="L367" s="24">
        <f t="shared" si="39"/>
        <v>4867.4965702641348</v>
      </c>
      <c r="M367" s="22">
        <f t="shared" si="40"/>
        <v>4897.4961357458424</v>
      </c>
      <c r="N367" s="11">
        <f t="shared" si="41"/>
        <v>0.99387450961671076</v>
      </c>
    </row>
    <row r="368" spans="1:14">
      <c r="A368" s="7">
        <v>367</v>
      </c>
      <c r="B368" s="7">
        <v>69.749661020000005</v>
      </c>
      <c r="D368" s="22">
        <f t="shared" si="35"/>
        <v>-0.20673790770007372</v>
      </c>
      <c r="E368" s="11">
        <v>69.553438209999996</v>
      </c>
      <c r="F368" s="28">
        <f t="shared" si="38"/>
        <v>-0.40296071770008268</v>
      </c>
      <c r="G368" s="22">
        <f t="shared" si="36"/>
        <v>4.2740562480204199E-2</v>
      </c>
      <c r="H368" s="11">
        <f t="shared" si="37"/>
        <v>8.3307255662635152E-2</v>
      </c>
      <c r="L368" s="24">
        <f t="shared" si="39"/>
        <v>4851.328737923016</v>
      </c>
      <c r="M368" s="22">
        <f t="shared" si="40"/>
        <v>4837.6807668322872</v>
      </c>
      <c r="N368" s="11">
        <f t="shared" si="41"/>
        <v>1.0028211805922169</v>
      </c>
    </row>
    <row r="369" spans="1:14">
      <c r="A369" s="7">
        <v>368</v>
      </c>
      <c r="B369" s="7">
        <v>71.55302476</v>
      </c>
      <c r="D369" s="22">
        <f t="shared" si="35"/>
        <v>1.5966258322999209</v>
      </c>
      <c r="E369" s="11">
        <v>69.749661020000005</v>
      </c>
      <c r="F369" s="28">
        <f t="shared" si="38"/>
        <v>-0.20673790770007372</v>
      </c>
      <c r="G369" s="22">
        <f t="shared" si="36"/>
        <v>2.5492140483674155</v>
      </c>
      <c r="H369" s="11">
        <f t="shared" si="37"/>
        <v>-0.33008308394957442</v>
      </c>
      <c r="L369" s="24">
        <f t="shared" si="39"/>
        <v>4990.7992219656671</v>
      </c>
      <c r="M369" s="22">
        <f t="shared" si="40"/>
        <v>4865.0152124049082</v>
      </c>
      <c r="N369" s="11">
        <f t="shared" si="41"/>
        <v>1.0258548029284744</v>
      </c>
    </row>
    <row r="370" spans="1:14">
      <c r="A370" s="7">
        <v>369</v>
      </c>
      <c r="B370" s="7">
        <v>71.697345580000004</v>
      </c>
      <c r="D370" s="22">
        <f t="shared" si="35"/>
        <v>1.7409466522999253</v>
      </c>
      <c r="E370" s="11">
        <v>71.55302476</v>
      </c>
      <c r="F370" s="28">
        <f t="shared" si="38"/>
        <v>1.5966258322999209</v>
      </c>
      <c r="G370" s="22">
        <f t="shared" si="36"/>
        <v>3.030895246154317</v>
      </c>
      <c r="H370" s="11">
        <f t="shared" si="37"/>
        <v>2.7796403977181292</v>
      </c>
      <c r="L370" s="24">
        <f t="shared" si="39"/>
        <v>5130.1619435120165</v>
      </c>
      <c r="M370" s="22">
        <f t="shared" si="40"/>
        <v>5119.8353523051728</v>
      </c>
      <c r="N370" s="11">
        <f t="shared" si="41"/>
        <v>1.0020169772065413</v>
      </c>
    </row>
    <row r="371" spans="1:14">
      <c r="A371" s="7">
        <v>370</v>
      </c>
      <c r="B371" s="7">
        <v>71.349172030000005</v>
      </c>
      <c r="D371" s="22">
        <f t="shared" si="35"/>
        <v>1.3927731022999268</v>
      </c>
      <c r="E371" s="11">
        <v>71.697345580000004</v>
      </c>
      <c r="F371" s="28">
        <f t="shared" si="38"/>
        <v>1.7409466522999253</v>
      </c>
      <c r="G371" s="22">
        <f t="shared" si="36"/>
        <v>1.9398169144901622</v>
      </c>
      <c r="H371" s="11">
        <f t="shared" si="37"/>
        <v>2.4247436698624387</v>
      </c>
      <c r="L371" s="24">
        <f t="shared" si="39"/>
        <v>5115.5462438817804</v>
      </c>
      <c r="M371" s="22">
        <f t="shared" si="40"/>
        <v>5140.509363217946</v>
      </c>
      <c r="N371" s="11">
        <f t="shared" si="41"/>
        <v>0.99514384323180405</v>
      </c>
    </row>
    <row r="372" spans="1:14">
      <c r="A372" s="7">
        <v>371</v>
      </c>
      <c r="B372" s="7">
        <v>69.642373449999994</v>
      </c>
      <c r="D372" s="22">
        <f t="shared" si="35"/>
        <v>-0.31402547770008482</v>
      </c>
      <c r="E372" s="11">
        <v>71.349172030000005</v>
      </c>
      <c r="F372" s="28">
        <f t="shared" si="38"/>
        <v>1.3927731022999268</v>
      </c>
      <c r="G372" s="22">
        <f t="shared" si="36"/>
        <v>9.8612000644766468E-2</v>
      </c>
      <c r="H372" s="11">
        <f t="shared" si="37"/>
        <v>-0.43736623877756364</v>
      </c>
      <c r="L372" s="24">
        <f t="shared" si="39"/>
        <v>4968.9256838615547</v>
      </c>
      <c r="M372" s="22">
        <f t="shared" si="40"/>
        <v>5090.7043493665351</v>
      </c>
      <c r="N372" s="11">
        <f t="shared" si="41"/>
        <v>0.97607822864037785</v>
      </c>
    </row>
    <row r="373" spans="1:14">
      <c r="A373" s="7">
        <v>372</v>
      </c>
      <c r="B373" s="7">
        <v>70.349555100000003</v>
      </c>
      <c r="D373" s="22">
        <f t="shared" si="35"/>
        <v>0.39315617229992483</v>
      </c>
      <c r="E373" s="11">
        <v>69.642373449999994</v>
      </c>
      <c r="F373" s="28">
        <f t="shared" si="38"/>
        <v>-0.31402547770008482</v>
      </c>
      <c r="G373" s="22">
        <f t="shared" si="36"/>
        <v>0.15457177581752818</v>
      </c>
      <c r="H373" s="11">
        <f t="shared" si="37"/>
        <v>-0.12346105481722075</v>
      </c>
      <c r="L373" s="24">
        <f t="shared" si="39"/>
        <v>4899.3099883155519</v>
      </c>
      <c r="M373" s="22">
        <f t="shared" si="40"/>
        <v>4850.0601797492636</v>
      </c>
      <c r="N373" s="11">
        <f t="shared" si="41"/>
        <v>1.0101544737056922</v>
      </c>
    </row>
    <row r="374" spans="1:14">
      <c r="A374" s="7">
        <v>373</v>
      </c>
      <c r="B374" s="7">
        <v>70.542602689999995</v>
      </c>
      <c r="D374" s="22">
        <f t="shared" si="35"/>
        <v>0.58620376229991678</v>
      </c>
      <c r="E374" s="11">
        <v>70.349555100000003</v>
      </c>
      <c r="F374" s="28">
        <f t="shared" si="38"/>
        <v>0.39315617229992483</v>
      </c>
      <c r="G374" s="22">
        <f t="shared" si="36"/>
        <v>0.34363485093457735</v>
      </c>
      <c r="H374" s="11">
        <f t="shared" si="37"/>
        <v>0.23046962737365026</v>
      </c>
      <c r="L374" s="24">
        <f t="shared" si="39"/>
        <v>4962.6407148375629</v>
      </c>
      <c r="M374" s="22">
        <f t="shared" si="40"/>
        <v>4949.0599027679364</v>
      </c>
      <c r="N374" s="11">
        <f t="shared" si="41"/>
        <v>1.0027441195573388</v>
      </c>
    </row>
    <row r="375" spans="1:14">
      <c r="A375" s="7">
        <v>374</v>
      </c>
      <c r="B375" s="7">
        <v>71.609840399999996</v>
      </c>
      <c r="D375" s="22">
        <f t="shared" si="35"/>
        <v>1.6534414722999173</v>
      </c>
      <c r="E375" s="11">
        <v>70.542602689999995</v>
      </c>
      <c r="F375" s="28">
        <f t="shared" si="38"/>
        <v>0.58620376229991678</v>
      </c>
      <c r="G375" s="22">
        <f t="shared" si="36"/>
        <v>2.7338687023213182</v>
      </c>
      <c r="H375" s="11">
        <f t="shared" si="37"/>
        <v>0.9692536118049252</v>
      </c>
      <c r="L375" s="24">
        <f t="shared" si="39"/>
        <v>5051.5445200315098</v>
      </c>
      <c r="M375" s="22">
        <f t="shared" si="40"/>
        <v>4976.2587942791943</v>
      </c>
      <c r="N375" s="11">
        <f t="shared" si="41"/>
        <v>1.0151289812014732</v>
      </c>
    </row>
    <row r="376" spans="1:14">
      <c r="A376" s="7">
        <v>375</v>
      </c>
      <c r="B376" s="7">
        <v>72.817183589999999</v>
      </c>
      <c r="D376" s="22">
        <f t="shared" si="35"/>
        <v>2.8607846622999205</v>
      </c>
      <c r="E376" s="11">
        <v>71.609840399999996</v>
      </c>
      <c r="F376" s="28">
        <f t="shared" si="38"/>
        <v>1.6534414722999173</v>
      </c>
      <c r="G376" s="22">
        <f t="shared" si="36"/>
        <v>8.1840888840504693</v>
      </c>
      <c r="H376" s="11">
        <f t="shared" si="37"/>
        <v>4.730140003966202</v>
      </c>
      <c r="L376" s="24">
        <f t="shared" si="39"/>
        <v>5214.4268952573984</v>
      </c>
      <c r="M376" s="22">
        <f t="shared" si="40"/>
        <v>5127.9692421134714</v>
      </c>
      <c r="N376" s="11">
        <f t="shared" si="41"/>
        <v>1.0168600178865921</v>
      </c>
    </row>
    <row r="377" spans="1:14">
      <c r="A377" s="7">
        <v>376</v>
      </c>
      <c r="B377" s="7">
        <v>70.900592259999996</v>
      </c>
      <c r="D377" s="22">
        <f t="shared" si="35"/>
        <v>0.94419333229991764</v>
      </c>
      <c r="E377" s="11">
        <v>72.817183589999999</v>
      </c>
      <c r="F377" s="28">
        <f t="shared" si="38"/>
        <v>2.8607846622999205</v>
      </c>
      <c r="G377" s="22">
        <f t="shared" si="36"/>
        <v>0.89150104875962266</v>
      </c>
      <c r="H377" s="11">
        <f t="shared" si="37"/>
        <v>2.7011338032894563</v>
      </c>
      <c r="L377" s="24">
        <f t="shared" si="39"/>
        <v>5162.7814432361529</v>
      </c>
      <c r="M377" s="22">
        <f t="shared" si="40"/>
        <v>5302.3422259797653</v>
      </c>
      <c r="N377" s="11">
        <f t="shared" si="41"/>
        <v>0.97367940868474889</v>
      </c>
    </row>
    <row r="378" spans="1:14">
      <c r="A378" s="7">
        <v>377</v>
      </c>
      <c r="B378" s="7">
        <v>69.288897149999997</v>
      </c>
      <c r="D378" s="22">
        <f t="shared" si="35"/>
        <v>-0.66750177770008179</v>
      </c>
      <c r="E378" s="11">
        <v>70.900592259999996</v>
      </c>
      <c r="F378" s="28">
        <f t="shared" si="38"/>
        <v>0.94419333229991764</v>
      </c>
      <c r="G378" s="22">
        <f t="shared" si="36"/>
        <v>0.4455586232327694</v>
      </c>
      <c r="H378" s="11">
        <f t="shared" si="37"/>
        <v>-0.63025072780275904</v>
      </c>
      <c r="L378" s="24">
        <f t="shared" si="39"/>
        <v>4912.6238449772254</v>
      </c>
      <c r="M378" s="22">
        <f t="shared" si="40"/>
        <v>5026.8939828187713</v>
      </c>
      <c r="N378" s="11">
        <f t="shared" si="41"/>
        <v>0.97726824193386508</v>
      </c>
    </row>
    <row r="379" spans="1:14">
      <c r="A379" s="7">
        <v>378</v>
      </c>
      <c r="B379" s="7">
        <v>68.439115619999995</v>
      </c>
      <c r="D379" s="22">
        <f t="shared" si="35"/>
        <v>-1.5172833077000831</v>
      </c>
      <c r="E379" s="11">
        <v>69.288897149999997</v>
      </c>
      <c r="F379" s="28">
        <f t="shared" si="38"/>
        <v>-0.66750177770008179</v>
      </c>
      <c r="G379" s="22">
        <f t="shared" si="36"/>
        <v>2.3021486358253052</v>
      </c>
      <c r="H379" s="11">
        <f t="shared" si="37"/>
        <v>1.0127893051644656</v>
      </c>
      <c r="L379" s="24">
        <f t="shared" si="39"/>
        <v>4742.0708432311376</v>
      </c>
      <c r="M379" s="22">
        <f t="shared" si="40"/>
        <v>4800.9512682632776</v>
      </c>
      <c r="N379" s="11">
        <f t="shared" si="41"/>
        <v>0.98773567533972495</v>
      </c>
    </row>
    <row r="380" spans="1:14">
      <c r="A380" s="7">
        <v>379</v>
      </c>
      <c r="B380" s="7">
        <v>69.133220719999997</v>
      </c>
      <c r="D380" s="22">
        <f t="shared" si="35"/>
        <v>-0.82317820770008154</v>
      </c>
      <c r="E380" s="11">
        <v>68.439115619999995</v>
      </c>
      <c r="F380" s="28">
        <f t="shared" si="38"/>
        <v>-1.5172833077000831</v>
      </c>
      <c r="G380" s="22">
        <f t="shared" si="36"/>
        <v>0.67762236163231859</v>
      </c>
      <c r="H380" s="11">
        <f t="shared" si="37"/>
        <v>1.2489945538058058</v>
      </c>
      <c r="L380" s="24">
        <f t="shared" si="39"/>
        <v>4731.4164860390592</v>
      </c>
      <c r="M380" s="22">
        <f t="shared" si="40"/>
        <v>4683.9125468477278</v>
      </c>
      <c r="N380" s="11">
        <f t="shared" si="41"/>
        <v>1.0101419355541346</v>
      </c>
    </row>
    <row r="381" spans="1:14">
      <c r="A381" s="7">
        <v>380</v>
      </c>
      <c r="B381" s="7">
        <v>69.566172289999997</v>
      </c>
      <c r="D381" s="22">
        <f t="shared" si="35"/>
        <v>-0.39022663770008137</v>
      </c>
      <c r="E381" s="11">
        <v>69.133220719999997</v>
      </c>
      <c r="F381" s="28">
        <f t="shared" si="38"/>
        <v>-0.82317820770008154</v>
      </c>
      <c r="G381" s="22">
        <f t="shared" si="36"/>
        <v>0.15227682877071055</v>
      </c>
      <c r="H381" s="11">
        <f t="shared" si="37"/>
        <v>0.32122606421878203</v>
      </c>
      <c r="L381" s="24">
        <f t="shared" si="39"/>
        <v>4809.3335435701174</v>
      </c>
      <c r="M381" s="22">
        <f t="shared" si="40"/>
        <v>4779.4022071202371</v>
      </c>
      <c r="N381" s="11">
        <f t="shared" si="41"/>
        <v>1.0062625690730296</v>
      </c>
    </row>
    <row r="382" spans="1:14">
      <c r="A382" s="7">
        <v>381</v>
      </c>
      <c r="B382" s="7">
        <v>70.359241560000001</v>
      </c>
      <c r="D382" s="22">
        <f t="shared" si="35"/>
        <v>0.40284263229992234</v>
      </c>
      <c r="E382" s="11">
        <v>69.566172289999997</v>
      </c>
      <c r="F382" s="28">
        <f t="shared" si="38"/>
        <v>-0.39022663770008137</v>
      </c>
      <c r="G382" s="22">
        <f t="shared" si="36"/>
        <v>0.16228218639833045</v>
      </c>
      <c r="H382" s="11">
        <f t="shared" si="37"/>
        <v>-0.1571999259246489</v>
      </c>
      <c r="L382" s="24">
        <f t="shared" si="39"/>
        <v>4894.6231205566883</v>
      </c>
      <c r="M382" s="22">
        <f t="shared" si="40"/>
        <v>4839.4523270819636</v>
      </c>
      <c r="N382" s="11">
        <f t="shared" si="41"/>
        <v>1.0114002142692851</v>
      </c>
    </row>
    <row r="383" spans="1:14">
      <c r="A383" s="7">
        <v>382</v>
      </c>
      <c r="B383" s="7">
        <v>70.201126430000002</v>
      </c>
      <c r="D383" s="22">
        <f t="shared" si="35"/>
        <v>0.24472750229992357</v>
      </c>
      <c r="E383" s="11">
        <v>70.359241560000001</v>
      </c>
      <c r="F383" s="28">
        <f t="shared" si="38"/>
        <v>0.40284263229992234</v>
      </c>
      <c r="G383" s="22">
        <f t="shared" si="36"/>
        <v>5.9891550381959098E-2</v>
      </c>
      <c r="H383" s="11">
        <f t="shared" si="37"/>
        <v>9.8586671222686509E-2</v>
      </c>
      <c r="L383" s="24">
        <f t="shared" si="39"/>
        <v>4939.2980122724703</v>
      </c>
      <c r="M383" s="22">
        <f t="shared" si="40"/>
        <v>4950.4228728984317</v>
      </c>
      <c r="N383" s="11">
        <f t="shared" si="41"/>
        <v>0.99775274538931502</v>
      </c>
    </row>
    <row r="384" spans="1:14">
      <c r="A384" s="7">
        <v>383</v>
      </c>
      <c r="B384" s="7">
        <v>69.651304109999998</v>
      </c>
      <c r="D384" s="22">
        <f t="shared" si="35"/>
        <v>-0.30509481770008051</v>
      </c>
      <c r="E384" s="11">
        <v>70.201126430000002</v>
      </c>
      <c r="F384" s="28">
        <f t="shared" si="38"/>
        <v>0.24472750229992357</v>
      </c>
      <c r="G384" s="22">
        <f t="shared" si="36"/>
        <v>9.3082847787445355E-2</v>
      </c>
      <c r="H384" s="11">
        <f t="shared" si="37"/>
        <v>-7.466509270039122E-2</v>
      </c>
      <c r="L384" s="24">
        <f t="shared" si="39"/>
        <v>4889.6000058404888</v>
      </c>
      <c r="M384" s="22">
        <f t="shared" si="40"/>
        <v>4928.1981520408444</v>
      </c>
      <c r="N384" s="11">
        <f t="shared" si="41"/>
        <v>0.99216789889335688</v>
      </c>
    </row>
    <row r="385" spans="1:14">
      <c r="A385" s="7">
        <v>384</v>
      </c>
      <c r="B385" s="7">
        <v>70.795029670000005</v>
      </c>
      <c r="D385" s="22">
        <f t="shared" si="35"/>
        <v>0.83863074229992662</v>
      </c>
      <c r="E385" s="11">
        <v>69.651304109999998</v>
      </c>
      <c r="F385" s="28">
        <f t="shared" si="38"/>
        <v>-0.30509481770008051</v>
      </c>
      <c r="G385" s="22">
        <f t="shared" si="36"/>
        <v>0.70330152193052597</v>
      </c>
      <c r="H385" s="11">
        <f t="shared" si="37"/>
        <v>-0.2558618934396793</v>
      </c>
      <c r="L385" s="24">
        <f t="shared" si="39"/>
        <v>4930.9661410216431</v>
      </c>
      <c r="M385" s="22">
        <f t="shared" si="40"/>
        <v>4851.3041642237022</v>
      </c>
      <c r="N385" s="11">
        <f t="shared" si="41"/>
        <v>1.0164207343224145</v>
      </c>
    </row>
    <row r="386" spans="1:14">
      <c r="A386" s="7">
        <v>385</v>
      </c>
      <c r="B386" s="7">
        <v>69.643746340000007</v>
      </c>
      <c r="D386" s="22">
        <f t="shared" ref="D386:D401" si="42">B386-$C$2</f>
        <v>-0.31265258770007165</v>
      </c>
      <c r="E386" s="11">
        <v>70.795029670000005</v>
      </c>
      <c r="F386" s="28">
        <f t="shared" si="38"/>
        <v>0.83863074229992662</v>
      </c>
      <c r="G386" s="22">
        <f t="shared" ref="G386:G401" si="43">(B386-$C$2)^2</f>
        <v>9.7751640595550998E-2</v>
      </c>
      <c r="H386" s="11">
        <f t="shared" ref="H386:H401" si="44">D386*F386</f>
        <v>-0.262200071704904</v>
      </c>
      <c r="L386" s="24">
        <f t="shared" si="39"/>
        <v>4930.4310884702545</v>
      </c>
      <c r="M386" s="22">
        <f t="shared" si="40"/>
        <v>5011.936225976181</v>
      </c>
      <c r="N386" s="11">
        <f t="shared" si="41"/>
        <v>0.98373779437106634</v>
      </c>
    </row>
    <row r="387" spans="1:14">
      <c r="A387" s="7">
        <v>386</v>
      </c>
      <c r="B387" s="7">
        <v>69.98084686</v>
      </c>
      <c r="D387" s="22">
        <f t="shared" si="42"/>
        <v>2.4447932299921149E-2</v>
      </c>
      <c r="E387" s="11">
        <v>69.643746340000007</v>
      </c>
      <c r="F387" s="28">
        <f t="shared" ref="F387:F450" si="45">E387-$C$2</f>
        <v>-0.31265258770007165</v>
      </c>
      <c r="G387" s="22">
        <f t="shared" si="43"/>
        <v>5.9770139374152784E-4</v>
      </c>
      <c r="H387" s="11">
        <f t="shared" si="44"/>
        <v>-7.6437092974865114E-3</v>
      </c>
      <c r="L387" s="24">
        <f t="shared" ref="L387:L401" si="46">B387*E387</f>
        <v>4873.7283473762263</v>
      </c>
      <c r="M387" s="22">
        <f t="shared" ref="M387:M401" si="47">E387^2</f>
        <v>4850.2514042702642</v>
      </c>
      <c r="N387" s="11">
        <f t="shared" ref="N387:N450" si="48">L387/M387</f>
        <v>1.004840355921611</v>
      </c>
    </row>
    <row r="388" spans="1:14">
      <c r="A388" s="7">
        <v>387</v>
      </c>
      <c r="B388" s="7">
        <v>69.689442479999997</v>
      </c>
      <c r="D388" s="22">
        <f t="shared" si="42"/>
        <v>-0.26695644770008187</v>
      </c>
      <c r="E388" s="11">
        <v>69.98084686</v>
      </c>
      <c r="F388" s="28">
        <f t="shared" si="45"/>
        <v>2.4447932299921149E-2</v>
      </c>
      <c r="G388" s="22">
        <f t="shared" si="43"/>
        <v>7.1265744968646544E-2</v>
      </c>
      <c r="H388" s="11">
        <f t="shared" si="44"/>
        <v>-6.5265331603990423E-3</v>
      </c>
      <c r="L388" s="24">
        <f t="shared" si="46"/>
        <v>4876.9262019516582</v>
      </c>
      <c r="M388" s="22">
        <f t="shared" si="47"/>
        <v>4897.3189272427717</v>
      </c>
      <c r="N388" s="11">
        <f t="shared" si="48"/>
        <v>0.99583594093133843</v>
      </c>
    </row>
    <row r="389" spans="1:14">
      <c r="A389" s="7">
        <v>388</v>
      </c>
      <c r="B389" s="7">
        <v>70.543779939999993</v>
      </c>
      <c r="D389" s="22">
        <f t="shared" si="42"/>
        <v>0.58738101229991457</v>
      </c>
      <c r="E389" s="11">
        <v>69.689442479999997</v>
      </c>
      <c r="F389" s="28">
        <f t="shared" si="45"/>
        <v>-0.26695644770008187</v>
      </c>
      <c r="G389" s="22">
        <f t="shared" si="43"/>
        <v>0.3450164536104724</v>
      </c>
      <c r="H389" s="11">
        <f t="shared" si="44"/>
        <v>-0.1568051484900633</v>
      </c>
      <c r="L389" s="24">
        <f t="shared" si="46"/>
        <v>4916.1566944504075</v>
      </c>
      <c r="M389" s="22">
        <f t="shared" si="47"/>
        <v>4856.6183931732285</v>
      </c>
      <c r="N389" s="11">
        <f t="shared" si="48"/>
        <v>1.012259209280447</v>
      </c>
    </row>
    <row r="390" spans="1:14">
      <c r="A390" s="7">
        <v>389</v>
      </c>
      <c r="B390" s="7">
        <v>71.804696759999999</v>
      </c>
      <c r="D390" s="22">
        <f t="shared" si="42"/>
        <v>1.8482978322999202</v>
      </c>
      <c r="E390" s="11">
        <v>70.543779939999993</v>
      </c>
      <c r="F390" s="28">
        <f t="shared" si="45"/>
        <v>0.58738101229991457</v>
      </c>
      <c r="G390" s="22">
        <f t="shared" si="43"/>
        <v>3.4162048768845836</v>
      </c>
      <c r="H390" s="11">
        <f t="shared" si="44"/>
        <v>1.0856550517680648</v>
      </c>
      <c r="L390" s="24">
        <f t="shared" si="46"/>
        <v>5065.3747268958705</v>
      </c>
      <c r="M390" s="22">
        <f t="shared" si="47"/>
        <v>4976.424888223145</v>
      </c>
      <c r="N390" s="11">
        <f t="shared" si="48"/>
        <v>1.0178742452002496</v>
      </c>
    </row>
    <row r="391" spans="1:14">
      <c r="A391" s="7">
        <v>390</v>
      </c>
      <c r="B391" s="7">
        <v>70.616585819999997</v>
      </c>
      <c r="D391" s="22">
        <f t="shared" si="42"/>
        <v>0.66018689229991878</v>
      </c>
      <c r="E391" s="11">
        <v>71.804696759999999</v>
      </c>
      <c r="F391" s="28">
        <f t="shared" si="45"/>
        <v>1.8482978322999202</v>
      </c>
      <c r="G391" s="22">
        <f t="shared" si="43"/>
        <v>0.43584673276462454</v>
      </c>
      <c r="H391" s="11">
        <f t="shared" si="44"/>
        <v>1.2202220019507608</v>
      </c>
      <c r="L391" s="24">
        <f t="shared" si="46"/>
        <v>5070.6025310316154</v>
      </c>
      <c r="M391" s="22">
        <f t="shared" si="47"/>
        <v>5155.914476795554</v>
      </c>
      <c r="N391" s="11">
        <f t="shared" si="48"/>
        <v>0.98345357624764929</v>
      </c>
    </row>
    <row r="392" spans="1:14">
      <c r="A392" s="7">
        <v>391</v>
      </c>
      <c r="B392" s="7">
        <v>70.269575369999998</v>
      </c>
      <c r="D392" s="22">
        <f t="shared" si="42"/>
        <v>0.3131764422999197</v>
      </c>
      <c r="E392" s="11">
        <v>70.616585819999997</v>
      </c>
      <c r="F392" s="28">
        <f t="shared" si="45"/>
        <v>0.66018689229991878</v>
      </c>
      <c r="G392" s="22">
        <f t="shared" si="43"/>
        <v>9.8079484011634938E-2</v>
      </c>
      <c r="H392" s="11">
        <f t="shared" si="44"/>
        <v>0.20675498218352881</v>
      </c>
      <c r="L392" s="24">
        <f t="shared" si="46"/>
        <v>4962.1974996505633</v>
      </c>
      <c r="M392" s="22">
        <f t="shared" si="47"/>
        <v>4986.7021928734248</v>
      </c>
      <c r="N392" s="11">
        <f t="shared" si="48"/>
        <v>0.99508599224997207</v>
      </c>
    </row>
    <row r="393" spans="1:14">
      <c r="A393" s="7">
        <v>392</v>
      </c>
      <c r="B393" s="7">
        <v>70.155562340000003</v>
      </c>
      <c r="D393" s="22">
        <f t="shared" si="42"/>
        <v>0.1991634122999244</v>
      </c>
      <c r="E393" s="11">
        <v>70.269575369999998</v>
      </c>
      <c r="F393" s="28">
        <f t="shared" si="45"/>
        <v>0.3131764422999197</v>
      </c>
      <c r="G393" s="22">
        <f t="shared" si="43"/>
        <v>3.9666064798949678E-2</v>
      </c>
      <c r="H393" s="11">
        <f t="shared" si="44"/>
        <v>6.237328890040239E-2</v>
      </c>
      <c r="L393" s="24">
        <f t="shared" si="46"/>
        <v>4929.8015754753633</v>
      </c>
      <c r="M393" s="22">
        <f t="shared" si="47"/>
        <v>4937.8132226801108</v>
      </c>
      <c r="N393" s="11">
        <f t="shared" si="48"/>
        <v>0.99837749083583216</v>
      </c>
    </row>
    <row r="394" spans="1:14">
      <c r="A394" s="7">
        <v>393</v>
      </c>
      <c r="B394" s="7">
        <v>69.213042389999998</v>
      </c>
      <c r="D394" s="22">
        <f t="shared" si="42"/>
        <v>-0.74335653770008037</v>
      </c>
      <c r="E394" s="11">
        <v>70.155562340000003</v>
      </c>
      <c r="F394" s="28">
        <f t="shared" si="45"/>
        <v>0.1991634122999244</v>
      </c>
      <c r="G394" s="22">
        <f t="shared" si="43"/>
        <v>0.55257894214145098</v>
      </c>
      <c r="H394" s="11">
        <f t="shared" si="44"/>
        <v>-0.14804942460380541</v>
      </c>
      <c r="L394" s="24">
        <f t="shared" si="46"/>
        <v>4855.6799101327078</v>
      </c>
      <c r="M394" s="22">
        <f t="shared" si="47"/>
        <v>4921.802927241627</v>
      </c>
      <c r="N394" s="11">
        <f t="shared" si="48"/>
        <v>0.98656528550890654</v>
      </c>
    </row>
    <row r="395" spans="1:14">
      <c r="A395" s="7">
        <v>394</v>
      </c>
      <c r="B395" s="7">
        <v>69.721944239999999</v>
      </c>
      <c r="D395" s="22">
        <f t="shared" si="42"/>
        <v>-0.23445468770007949</v>
      </c>
      <c r="E395" s="11">
        <v>69.213042389999998</v>
      </c>
      <c r="F395" s="28">
        <f t="shared" si="45"/>
        <v>-0.74335653770008037</v>
      </c>
      <c r="G395" s="22">
        <f t="shared" si="43"/>
        <v>5.4969000584541808E-2</v>
      </c>
      <c r="H395" s="11">
        <f t="shared" si="44"/>
        <v>0.17428342489628471</v>
      </c>
      <c r="L395" s="24">
        <f t="shared" si="46"/>
        <v>4825.667882196336</v>
      </c>
      <c r="M395" s="22">
        <f t="shared" si="47"/>
        <v>4790.4452368799366</v>
      </c>
      <c r="N395" s="11">
        <f t="shared" si="48"/>
        <v>1.007352687187661</v>
      </c>
    </row>
    <row r="396" spans="1:14">
      <c r="A396" s="7">
        <v>395</v>
      </c>
      <c r="B396" s="7">
        <v>70.358374330000004</v>
      </c>
      <c r="D396" s="22">
        <f t="shared" si="42"/>
        <v>0.40197540229992512</v>
      </c>
      <c r="E396" s="11">
        <v>69.721944239999999</v>
      </c>
      <c r="F396" s="28">
        <f t="shared" si="45"/>
        <v>-0.23445468770007949</v>
      </c>
      <c r="G396" s="22">
        <f t="shared" si="43"/>
        <v>0.16158422405418665</v>
      </c>
      <c r="H396" s="11">
        <f t="shared" si="44"/>
        <v>-9.4245017409342755E-2</v>
      </c>
      <c r="L396" s="24">
        <f t="shared" si="46"/>
        <v>4905.5226518533073</v>
      </c>
      <c r="M396" s="22">
        <f t="shared" si="47"/>
        <v>4861.1495086056693</v>
      </c>
      <c r="N396" s="11">
        <f t="shared" si="48"/>
        <v>1.009128117365879</v>
      </c>
    </row>
    <row r="397" spans="1:14">
      <c r="A397" s="7">
        <v>396</v>
      </c>
      <c r="B397" s="7">
        <v>70.711312149999998</v>
      </c>
      <c r="D397" s="22">
        <f t="shared" si="42"/>
        <v>0.75491322229991908</v>
      </c>
      <c r="E397" s="11">
        <v>70.358374330000004</v>
      </c>
      <c r="F397" s="28">
        <f t="shared" si="45"/>
        <v>0.40197540229992512</v>
      </c>
      <c r="G397" s="22">
        <f t="shared" si="43"/>
        <v>0.56989397320324708</v>
      </c>
      <c r="H397" s="11">
        <f t="shared" si="44"/>
        <v>0.3034565462355428</v>
      </c>
      <c r="L397" s="24">
        <f t="shared" si="46"/>
        <v>4975.132969615177</v>
      </c>
      <c r="M397" s="22">
        <f t="shared" si="47"/>
        <v>4950.3008383604038</v>
      </c>
      <c r="N397" s="11">
        <f t="shared" si="48"/>
        <v>1.0050162873056818</v>
      </c>
    </row>
    <row r="398" spans="1:14">
      <c r="A398" s="7">
        <v>397</v>
      </c>
      <c r="B398" s="7">
        <v>70.120876089999996</v>
      </c>
      <c r="D398" s="22">
        <f t="shared" si="42"/>
        <v>0.16447716229991727</v>
      </c>
      <c r="E398" s="11">
        <v>70.711312149999998</v>
      </c>
      <c r="F398" s="28">
        <f t="shared" si="45"/>
        <v>0.75491322229991908</v>
      </c>
      <c r="G398" s="22">
        <f t="shared" si="43"/>
        <v>2.7052736918233327E-2</v>
      </c>
      <c r="H398" s="11">
        <f t="shared" si="44"/>
        <v>0.12416598458657732</v>
      </c>
      <c r="L398" s="24">
        <f t="shared" si="46"/>
        <v>4958.339157431461</v>
      </c>
      <c r="M398" s="22">
        <f t="shared" si="47"/>
        <v>5000.0896659747377</v>
      </c>
      <c r="N398" s="11">
        <f t="shared" si="48"/>
        <v>0.9916500480326611</v>
      </c>
    </row>
    <row r="399" spans="1:14">
      <c r="A399" s="7">
        <v>398</v>
      </c>
      <c r="B399" s="7">
        <v>69.953324309999999</v>
      </c>
      <c r="D399" s="22">
        <f t="shared" si="42"/>
        <v>-3.0746177000793296E-3</v>
      </c>
      <c r="E399" s="11">
        <v>70.120876089999996</v>
      </c>
      <c r="F399" s="28">
        <f t="shared" si="45"/>
        <v>0.16447716229991727</v>
      </c>
      <c r="G399" s="22">
        <f t="shared" si="43"/>
        <v>9.4532740016411063E-6</v>
      </c>
      <c r="H399" s="11">
        <f t="shared" si="44"/>
        <v>-5.0570439446614621E-4</v>
      </c>
      <c r="L399" s="24">
        <f t="shared" si="46"/>
        <v>4905.1883860250946</v>
      </c>
      <c r="M399" s="22">
        <f t="shared" si="47"/>
        <v>4916.9372636291328</v>
      </c>
      <c r="N399" s="11">
        <f t="shared" si="48"/>
        <v>0.99761052928396188</v>
      </c>
    </row>
    <row r="400" spans="1:14">
      <c r="A400" s="7">
        <v>399</v>
      </c>
      <c r="B400" s="7">
        <v>68.788120809999995</v>
      </c>
      <c r="D400" s="22">
        <f t="shared" si="42"/>
        <v>-1.1682781177000834</v>
      </c>
      <c r="E400" s="11">
        <v>69.953324309999999</v>
      </c>
      <c r="F400" s="28">
        <f t="shared" si="45"/>
        <v>-3.0746177000793296E-3</v>
      </c>
      <c r="G400" s="22">
        <f t="shared" si="43"/>
        <v>1.3648737602968499</v>
      </c>
      <c r="H400" s="11">
        <f t="shared" si="44"/>
        <v>3.5920085792960385E-3</v>
      </c>
      <c r="L400" s="24">
        <f t="shared" si="46"/>
        <v>4811.9577236973892</v>
      </c>
      <c r="M400" s="22">
        <f t="shared" si="47"/>
        <v>4893.4675820200373</v>
      </c>
      <c r="N400" s="11">
        <f t="shared" si="48"/>
        <v>0.98334312898645981</v>
      </c>
    </row>
    <row r="401" spans="1:14">
      <c r="A401" s="7">
        <v>400</v>
      </c>
      <c r="B401" s="7">
        <v>68.928761120000004</v>
      </c>
      <c r="D401" s="22">
        <f t="shared" si="42"/>
        <v>-1.0276378077000743</v>
      </c>
      <c r="E401" s="11">
        <v>68.788120809999995</v>
      </c>
      <c r="F401" s="28">
        <f t="shared" si="45"/>
        <v>-1.1682781177000834</v>
      </c>
      <c r="G401" s="22">
        <f t="shared" si="43"/>
        <v>1.0560394638146149</v>
      </c>
      <c r="H401" s="11">
        <f t="shared" si="44"/>
        <v>1.200566763657283</v>
      </c>
      <c r="L401" s="24">
        <f t="shared" si="46"/>
        <v>4741.4799472061904</v>
      </c>
      <c r="M401" s="22">
        <f t="shared" si="47"/>
        <v>4731.8055645711547</v>
      </c>
      <c r="N401" s="11">
        <f t="shared" si="48"/>
        <v>1.0020445435686267</v>
      </c>
    </row>
    <row r="402" spans="1:14">
      <c r="E402" s="11">
        <v>68.928761120000004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10F1-114D-4F0A-8B93-AD759CB66A82}">
  <dimension ref="A1:P145"/>
  <sheetViews>
    <sheetView tabSelected="1" workbookViewId="0">
      <selection activeCell="E3" sqref="E3"/>
    </sheetView>
  </sheetViews>
  <sheetFormatPr defaultRowHeight="14.45"/>
  <cols>
    <col min="1" max="1" width="8.42578125" customWidth="1"/>
    <col min="3" max="3" width="19.140625" customWidth="1"/>
    <col min="4" max="4" width="14.42578125" customWidth="1"/>
    <col min="5" max="5" width="9.28515625" customWidth="1"/>
    <col min="16" max="16" width="9.42578125" bestFit="1" customWidth="1"/>
  </cols>
  <sheetData>
    <row r="1" spans="1:16">
      <c r="A1" s="33" t="s">
        <v>26</v>
      </c>
      <c r="B1" s="33" t="s">
        <v>27</v>
      </c>
      <c r="C1" s="33" t="s">
        <v>28</v>
      </c>
      <c r="D1" s="33" t="s">
        <v>29</v>
      </c>
      <c r="E1" s="33" t="s">
        <v>30</v>
      </c>
      <c r="F1" s="33" t="s">
        <v>31</v>
      </c>
      <c r="G1" s="33" t="s">
        <v>32</v>
      </c>
      <c r="H1" s="33" t="s">
        <v>33</v>
      </c>
      <c r="I1" s="33" t="s">
        <v>34</v>
      </c>
      <c r="J1" s="33" t="s">
        <v>35</v>
      </c>
      <c r="K1" s="33" t="s">
        <v>36</v>
      </c>
      <c r="L1" s="33" t="s">
        <v>37</v>
      </c>
      <c r="M1" s="33" t="s">
        <v>38</v>
      </c>
      <c r="N1" s="33" t="s">
        <v>39</v>
      </c>
      <c r="O1" s="33" t="s">
        <v>40</v>
      </c>
      <c r="P1" s="33" t="s">
        <v>41</v>
      </c>
    </row>
    <row r="2" spans="1:16">
      <c r="A2" s="32">
        <v>1949</v>
      </c>
      <c r="B2" s="32">
        <v>1</v>
      </c>
      <c r="C2" s="32">
        <v>112</v>
      </c>
      <c r="D2" s="32">
        <v>1</v>
      </c>
      <c r="E2" s="34" t="e" cm="1" vm="1">
        <f t="array" aca="1" ref="E2" ca="1">_xlfn.MUNIT(12)</f>
        <v>#VALUE!</v>
      </c>
    </row>
    <row r="3" spans="1:16">
      <c r="A3" s="32">
        <v>1949</v>
      </c>
      <c r="B3" s="32">
        <v>2</v>
      </c>
      <c r="C3" s="32">
        <v>118</v>
      </c>
      <c r="D3" s="32">
        <v>2</v>
      </c>
      <c r="E3" s="32"/>
    </row>
    <row r="4" spans="1:16">
      <c r="A4" s="32">
        <v>1949</v>
      </c>
      <c r="B4" s="32">
        <v>3</v>
      </c>
      <c r="C4" s="32">
        <v>132</v>
      </c>
      <c r="D4" s="32">
        <v>3</v>
      </c>
      <c r="E4" s="32"/>
    </row>
    <row r="5" spans="1:16">
      <c r="A5" s="32">
        <v>1949</v>
      </c>
      <c r="B5" s="32">
        <v>4</v>
      </c>
      <c r="C5" s="32">
        <v>129</v>
      </c>
      <c r="D5" s="32">
        <v>4</v>
      </c>
      <c r="E5" s="32"/>
    </row>
    <row r="6" spans="1:16">
      <c r="A6" s="32">
        <v>1949</v>
      </c>
      <c r="B6" s="32">
        <v>5</v>
      </c>
      <c r="C6" s="32">
        <v>121</v>
      </c>
      <c r="D6" s="32">
        <v>5</v>
      </c>
      <c r="E6" s="32"/>
    </row>
    <row r="7" spans="1:16">
      <c r="A7" s="32">
        <v>1949</v>
      </c>
      <c r="B7" s="32">
        <v>6</v>
      </c>
      <c r="C7" s="32">
        <v>135</v>
      </c>
      <c r="D7" s="32">
        <v>6</v>
      </c>
      <c r="E7" s="32"/>
    </row>
    <row r="8" spans="1:16">
      <c r="A8" s="32">
        <v>1949</v>
      </c>
      <c r="B8" s="32">
        <v>7</v>
      </c>
      <c r="C8" s="32">
        <v>148</v>
      </c>
      <c r="D8" s="32">
        <v>7</v>
      </c>
      <c r="E8" s="32"/>
    </row>
    <row r="9" spans="1:16">
      <c r="A9" s="32">
        <v>1949</v>
      </c>
      <c r="B9" s="32">
        <v>8</v>
      </c>
      <c r="C9" s="32">
        <v>148</v>
      </c>
      <c r="D9" s="32">
        <v>8</v>
      </c>
      <c r="E9" s="32"/>
    </row>
    <row r="10" spans="1:16">
      <c r="A10" s="32">
        <v>1949</v>
      </c>
      <c r="B10" s="32">
        <v>9</v>
      </c>
      <c r="C10" s="32">
        <v>136</v>
      </c>
      <c r="D10" s="32">
        <v>9</v>
      </c>
      <c r="E10" s="32"/>
    </row>
    <row r="11" spans="1:16">
      <c r="A11" s="32">
        <v>1949</v>
      </c>
      <c r="B11" s="32">
        <v>10</v>
      </c>
      <c r="C11" s="32">
        <v>119</v>
      </c>
      <c r="D11" s="32">
        <v>10</v>
      </c>
      <c r="E11" s="32"/>
    </row>
    <row r="12" spans="1:16">
      <c r="A12" s="32">
        <v>1949</v>
      </c>
      <c r="B12" s="32">
        <v>11</v>
      </c>
      <c r="C12" s="32">
        <v>104</v>
      </c>
      <c r="D12" s="32">
        <v>11</v>
      </c>
      <c r="E12" s="32"/>
    </row>
    <row r="13" spans="1:16">
      <c r="A13" s="32">
        <v>1949</v>
      </c>
      <c r="B13" s="32">
        <v>12</v>
      </c>
      <c r="C13" s="32">
        <v>118</v>
      </c>
      <c r="D13" s="32">
        <v>12</v>
      </c>
      <c r="E13" s="32"/>
      <c r="P13" t="s">
        <v>42</v>
      </c>
    </row>
    <row r="14" spans="1:16">
      <c r="A14" s="32">
        <v>1950</v>
      </c>
      <c r="B14" s="32">
        <v>1</v>
      </c>
      <c r="C14" s="32">
        <v>115</v>
      </c>
      <c r="D14" s="32">
        <v>13</v>
      </c>
      <c r="E14" s="32" cm="1">
        <f t="array" ref="E14:P25">_xlfn.MUNIT(12)</f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32">
        <v>1950</v>
      </c>
      <c r="B15" s="32">
        <v>2</v>
      </c>
      <c r="C15" s="32">
        <v>126</v>
      </c>
      <c r="D15" s="32">
        <v>14</v>
      </c>
      <c r="E15" s="32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32">
        <v>1950</v>
      </c>
      <c r="B16" s="32">
        <v>3</v>
      </c>
      <c r="C16" s="32">
        <v>141</v>
      </c>
      <c r="D16" s="32">
        <v>15</v>
      </c>
      <c r="E16" s="32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32">
        <v>1950</v>
      </c>
      <c r="B17" s="32">
        <v>4</v>
      </c>
      <c r="C17" s="32">
        <v>135</v>
      </c>
      <c r="D17" s="32">
        <v>16</v>
      </c>
      <c r="E17" s="32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32">
        <v>1950</v>
      </c>
      <c r="B18" s="32">
        <v>5</v>
      </c>
      <c r="C18" s="32">
        <v>125</v>
      </c>
      <c r="D18" s="32">
        <v>17</v>
      </c>
      <c r="E18" s="32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32">
        <v>1950</v>
      </c>
      <c r="B19" s="32">
        <v>6</v>
      </c>
      <c r="C19" s="32">
        <v>149</v>
      </c>
      <c r="D19" s="32">
        <v>18</v>
      </c>
      <c r="E19" s="32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32">
        <v>1950</v>
      </c>
      <c r="B20" s="32">
        <v>7</v>
      </c>
      <c r="C20" s="32">
        <v>170</v>
      </c>
      <c r="D20" s="32">
        <v>19</v>
      </c>
      <c r="E20" s="32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32">
        <v>1950</v>
      </c>
      <c r="B21" s="32">
        <v>8</v>
      </c>
      <c r="C21" s="32">
        <v>170</v>
      </c>
      <c r="D21" s="32">
        <v>20</v>
      </c>
      <c r="E21" s="32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32">
        <v>1950</v>
      </c>
      <c r="B22" s="32">
        <v>9</v>
      </c>
      <c r="C22" s="32">
        <v>158</v>
      </c>
      <c r="D22" s="32">
        <v>21</v>
      </c>
      <c r="E22" s="3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 spans="1:16">
      <c r="A23" s="32">
        <v>1950</v>
      </c>
      <c r="B23" s="32">
        <v>10</v>
      </c>
      <c r="C23" s="32">
        <v>133</v>
      </c>
      <c r="D23" s="32">
        <v>22</v>
      </c>
      <c r="E23" s="32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>
      <c r="A24" s="32">
        <v>1950</v>
      </c>
      <c r="B24" s="32">
        <v>11</v>
      </c>
      <c r="C24" s="32">
        <v>114</v>
      </c>
      <c r="D24" s="32">
        <v>23</v>
      </c>
      <c r="E24" s="32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</row>
    <row r="25" spans="1:16">
      <c r="A25" s="32">
        <v>1950</v>
      </c>
      <c r="B25" s="32">
        <v>12</v>
      </c>
      <c r="C25" s="32">
        <v>140</v>
      </c>
      <c r="D25" s="32">
        <v>24</v>
      </c>
      <c r="E25" s="32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>
      <c r="A26" s="32">
        <v>1951</v>
      </c>
      <c r="B26" s="32">
        <v>1</v>
      </c>
      <c r="C26" s="32">
        <v>145</v>
      </c>
      <c r="D26" s="32">
        <v>25</v>
      </c>
      <c r="E26" s="32" cm="1">
        <f t="array" ref="E26:P37">_xlfn.MUNIT(12)</f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32">
        <v>1951</v>
      </c>
      <c r="B27" s="32">
        <v>2</v>
      </c>
      <c r="C27" s="32">
        <v>150</v>
      </c>
      <c r="D27" s="32">
        <v>26</v>
      </c>
      <c r="E27" s="32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32">
        <v>1951</v>
      </c>
      <c r="B28" s="32">
        <v>3</v>
      </c>
      <c r="C28" s="32">
        <v>178</v>
      </c>
      <c r="D28" s="32">
        <v>27</v>
      </c>
      <c r="E28" s="32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32">
        <v>1951</v>
      </c>
      <c r="B29" s="32">
        <v>4</v>
      </c>
      <c r="C29" s="32">
        <v>163</v>
      </c>
      <c r="D29" s="32">
        <v>28</v>
      </c>
      <c r="E29" s="32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32">
        <v>1951</v>
      </c>
      <c r="B30" s="32">
        <v>5</v>
      </c>
      <c r="C30" s="32">
        <v>172</v>
      </c>
      <c r="D30" s="32">
        <v>29</v>
      </c>
      <c r="E30" s="32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32">
        <v>1951</v>
      </c>
      <c r="B31" s="32">
        <v>6</v>
      </c>
      <c r="C31" s="32">
        <v>178</v>
      </c>
      <c r="D31" s="32">
        <v>30</v>
      </c>
      <c r="E31" s="32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32">
        <v>1951</v>
      </c>
      <c r="B32" s="32">
        <v>7</v>
      </c>
      <c r="C32" s="32">
        <v>199</v>
      </c>
      <c r="D32" s="32">
        <v>31</v>
      </c>
      <c r="E32" s="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32">
        <v>1951</v>
      </c>
      <c r="B33" s="32">
        <v>8</v>
      </c>
      <c r="C33" s="32">
        <v>199</v>
      </c>
      <c r="D33" s="32">
        <v>32</v>
      </c>
      <c r="E33" s="32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>
      <c r="A34" s="32">
        <v>1951</v>
      </c>
      <c r="B34" s="32">
        <v>9</v>
      </c>
      <c r="C34" s="32">
        <v>184</v>
      </c>
      <c r="D34" s="32">
        <v>33</v>
      </c>
      <c r="E34" s="32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</row>
    <row r="35" spans="1:16">
      <c r="A35" s="32">
        <v>1951</v>
      </c>
      <c r="B35" s="32">
        <v>10</v>
      </c>
      <c r="C35" s="32">
        <v>162</v>
      </c>
      <c r="D35" s="32">
        <v>34</v>
      </c>
      <c r="E35" s="32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</row>
    <row r="36" spans="1:16">
      <c r="A36" s="32">
        <v>1951</v>
      </c>
      <c r="B36" s="32">
        <v>11</v>
      </c>
      <c r="C36" s="32">
        <v>146</v>
      </c>
      <c r="D36" s="32">
        <v>35</v>
      </c>
      <c r="E36" s="32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</row>
    <row r="37" spans="1:16">
      <c r="A37" s="32">
        <v>1951</v>
      </c>
      <c r="B37" s="32">
        <v>12</v>
      </c>
      <c r="C37" s="32">
        <v>166</v>
      </c>
      <c r="D37" s="32">
        <v>36</v>
      </c>
      <c r="E37" s="32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>
      <c r="A38" s="32">
        <v>1952</v>
      </c>
      <c r="B38" s="32">
        <v>1</v>
      </c>
      <c r="C38" s="32">
        <v>171</v>
      </c>
      <c r="D38" s="32">
        <v>37</v>
      </c>
      <c r="E38" s="32" cm="1">
        <f t="array" ref="E38:P49">_xlfn.MUNIT(12)</f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32">
        <v>1952</v>
      </c>
      <c r="B39" s="32">
        <v>2</v>
      </c>
      <c r="C39" s="32">
        <v>180</v>
      </c>
      <c r="D39" s="32">
        <v>38</v>
      </c>
      <c r="E39" s="32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32">
        <v>1952</v>
      </c>
      <c r="B40" s="32">
        <v>3</v>
      </c>
      <c r="C40" s="32">
        <v>193</v>
      </c>
      <c r="D40" s="32">
        <v>39</v>
      </c>
      <c r="E40" s="32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32">
        <v>1952</v>
      </c>
      <c r="B41" s="32">
        <v>4</v>
      </c>
      <c r="C41" s="32">
        <v>181</v>
      </c>
      <c r="D41" s="32">
        <v>40</v>
      </c>
      <c r="E41" s="32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32">
        <v>1952</v>
      </c>
      <c r="B42" s="32">
        <v>5</v>
      </c>
      <c r="C42" s="32">
        <v>183</v>
      </c>
      <c r="D42" s="32">
        <v>41</v>
      </c>
      <c r="E42" s="3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32">
        <v>1952</v>
      </c>
      <c r="B43" s="32">
        <v>6</v>
      </c>
      <c r="C43" s="32">
        <v>218</v>
      </c>
      <c r="D43" s="32">
        <v>42</v>
      </c>
      <c r="E43" s="32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32">
        <v>1952</v>
      </c>
      <c r="B44" s="32">
        <v>7</v>
      </c>
      <c r="C44" s="32">
        <v>230</v>
      </c>
      <c r="D44" s="32">
        <v>43</v>
      </c>
      <c r="E44" s="32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32">
        <v>1952</v>
      </c>
      <c r="B45" s="32">
        <v>8</v>
      </c>
      <c r="C45" s="32">
        <v>242</v>
      </c>
      <c r="D45" s="32">
        <v>44</v>
      </c>
      <c r="E45" s="32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</row>
    <row r="46" spans="1:16">
      <c r="A46" s="32">
        <v>1952</v>
      </c>
      <c r="B46" s="32">
        <v>9</v>
      </c>
      <c r="C46" s="32">
        <v>209</v>
      </c>
      <c r="D46" s="32">
        <v>45</v>
      </c>
      <c r="E46" s="32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 spans="1:16">
      <c r="A47" s="32">
        <v>1952</v>
      </c>
      <c r="B47" s="32">
        <v>10</v>
      </c>
      <c r="C47" s="32">
        <v>191</v>
      </c>
      <c r="D47" s="32">
        <v>46</v>
      </c>
      <c r="E47" s="32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</row>
    <row r="48" spans="1:16">
      <c r="A48" s="32">
        <v>1952</v>
      </c>
      <c r="B48" s="32">
        <v>11</v>
      </c>
      <c r="C48" s="32">
        <v>172</v>
      </c>
      <c r="D48" s="32">
        <v>47</v>
      </c>
      <c r="E48" s="32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 spans="1:16">
      <c r="A49" s="32">
        <v>1952</v>
      </c>
      <c r="B49" s="32">
        <v>12</v>
      </c>
      <c r="C49" s="32">
        <v>194</v>
      </c>
      <c r="D49" s="32">
        <v>48</v>
      </c>
      <c r="E49" s="32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>
      <c r="A50" s="32">
        <v>1953</v>
      </c>
      <c r="B50" s="32">
        <v>1</v>
      </c>
      <c r="C50" s="32">
        <v>196</v>
      </c>
      <c r="D50" s="32">
        <v>49</v>
      </c>
      <c r="E50" s="32" cm="1">
        <f t="array" ref="E50:P61">_xlfn.MUNIT(12)</f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32">
        <v>1953</v>
      </c>
      <c r="B51" s="32">
        <v>2</v>
      </c>
      <c r="C51" s="32">
        <v>196</v>
      </c>
      <c r="D51" s="32">
        <v>50</v>
      </c>
      <c r="E51" s="32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32">
        <v>1953</v>
      </c>
      <c r="B52" s="32">
        <v>3</v>
      </c>
      <c r="C52" s="32">
        <v>236</v>
      </c>
      <c r="D52" s="32">
        <v>51</v>
      </c>
      <c r="E52" s="3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32">
        <v>1953</v>
      </c>
      <c r="B53" s="32">
        <v>4</v>
      </c>
      <c r="C53" s="32">
        <v>235</v>
      </c>
      <c r="D53" s="32">
        <v>52</v>
      </c>
      <c r="E53" s="32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32">
        <v>1953</v>
      </c>
      <c r="B54" s="32">
        <v>5</v>
      </c>
      <c r="C54" s="32">
        <v>229</v>
      </c>
      <c r="D54" s="32">
        <v>53</v>
      </c>
      <c r="E54" s="32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32">
        <v>1953</v>
      </c>
      <c r="B55" s="32">
        <v>6</v>
      </c>
      <c r="C55" s="32">
        <v>243</v>
      </c>
      <c r="D55" s="32">
        <v>54</v>
      </c>
      <c r="E55" s="32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32">
        <v>1953</v>
      </c>
      <c r="B56" s="32">
        <v>7</v>
      </c>
      <c r="C56" s="32">
        <v>264</v>
      </c>
      <c r="D56" s="32">
        <v>55</v>
      </c>
      <c r="E56" s="32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32">
        <v>1953</v>
      </c>
      <c r="B57" s="32">
        <v>8</v>
      </c>
      <c r="C57" s="32">
        <v>272</v>
      </c>
      <c r="D57" s="32">
        <v>56</v>
      </c>
      <c r="E57" s="32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>
      <c r="A58" s="32">
        <v>1953</v>
      </c>
      <c r="B58" s="32">
        <v>9</v>
      </c>
      <c r="C58" s="32">
        <v>237</v>
      </c>
      <c r="D58" s="32">
        <v>57</v>
      </c>
      <c r="E58" s="32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16">
      <c r="A59" s="32">
        <v>1953</v>
      </c>
      <c r="B59" s="32">
        <v>10</v>
      </c>
      <c r="C59" s="32">
        <v>211</v>
      </c>
      <c r="D59" s="32">
        <v>58</v>
      </c>
      <c r="E59" s="32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</row>
    <row r="60" spans="1:16">
      <c r="A60" s="32">
        <v>1953</v>
      </c>
      <c r="B60" s="32">
        <v>11</v>
      </c>
      <c r="C60" s="32">
        <v>180</v>
      </c>
      <c r="D60" s="32">
        <v>59</v>
      </c>
      <c r="E60" s="32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</row>
    <row r="61" spans="1:16">
      <c r="A61" s="32">
        <v>1953</v>
      </c>
      <c r="B61" s="32">
        <v>12</v>
      </c>
      <c r="C61" s="32">
        <v>201</v>
      </c>
      <c r="D61" s="32">
        <v>60</v>
      </c>
      <c r="E61" s="32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</row>
    <row r="62" spans="1:16">
      <c r="A62" s="32">
        <v>1954</v>
      </c>
      <c r="B62" s="32">
        <v>1</v>
      </c>
      <c r="C62" s="32">
        <v>204</v>
      </c>
      <c r="D62" s="32">
        <v>61</v>
      </c>
      <c r="E62" s="32" cm="1">
        <f t="array" ref="E62:P73">_xlfn.MUNIT(12)</f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32">
        <v>1954</v>
      </c>
      <c r="B63" s="32">
        <v>2</v>
      </c>
      <c r="C63" s="32">
        <v>188</v>
      </c>
      <c r="D63" s="32">
        <v>62</v>
      </c>
      <c r="E63" s="32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32">
        <v>1954</v>
      </c>
      <c r="B64" s="32">
        <v>3</v>
      </c>
      <c r="C64" s="32">
        <v>235</v>
      </c>
      <c r="D64" s="32">
        <v>63</v>
      </c>
      <c r="E64" s="32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32">
        <v>1954</v>
      </c>
      <c r="B65" s="32">
        <v>4</v>
      </c>
      <c r="C65" s="32">
        <v>227</v>
      </c>
      <c r="D65" s="32">
        <v>64</v>
      </c>
      <c r="E65" s="32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32">
        <v>1954</v>
      </c>
      <c r="B66" s="32">
        <v>5</v>
      </c>
      <c r="C66" s="32">
        <v>234</v>
      </c>
      <c r="D66" s="32">
        <v>65</v>
      </c>
      <c r="E66" s="32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32">
        <v>1954</v>
      </c>
      <c r="B67" s="32">
        <v>6</v>
      </c>
      <c r="C67" s="32">
        <v>264</v>
      </c>
      <c r="D67" s="32">
        <v>66</v>
      </c>
      <c r="E67" s="32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32">
        <v>1954</v>
      </c>
      <c r="B68" s="32">
        <v>7</v>
      </c>
      <c r="C68" s="32">
        <v>302</v>
      </c>
      <c r="D68" s="32">
        <v>67</v>
      </c>
      <c r="E68" s="32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32">
        <v>1954</v>
      </c>
      <c r="B69" s="32">
        <v>8</v>
      </c>
      <c r="C69" s="32">
        <v>293</v>
      </c>
      <c r="D69" s="32">
        <v>68</v>
      </c>
      <c r="E69" s="32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</row>
    <row r="70" spans="1:16">
      <c r="A70" s="32">
        <v>1954</v>
      </c>
      <c r="B70" s="32">
        <v>9</v>
      </c>
      <c r="C70" s="32">
        <v>259</v>
      </c>
      <c r="D70" s="32">
        <v>69</v>
      </c>
      <c r="E70" s="32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</row>
    <row r="71" spans="1:16">
      <c r="A71" s="32">
        <v>1954</v>
      </c>
      <c r="B71" s="32">
        <v>10</v>
      </c>
      <c r="C71" s="32">
        <v>229</v>
      </c>
      <c r="D71" s="32">
        <v>70</v>
      </c>
      <c r="E71" s="32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</row>
    <row r="72" spans="1:16">
      <c r="A72" s="32">
        <v>1954</v>
      </c>
      <c r="B72" s="32">
        <v>11</v>
      </c>
      <c r="C72" s="32">
        <v>203</v>
      </c>
      <c r="D72" s="32">
        <v>71</v>
      </c>
      <c r="E72" s="3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>
      <c r="A73" s="32">
        <v>1954</v>
      </c>
      <c r="B73" s="32">
        <v>12</v>
      </c>
      <c r="C73" s="32">
        <v>229</v>
      </c>
      <c r="D73" s="32">
        <v>72</v>
      </c>
      <c r="E73" s="32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</row>
    <row r="74" spans="1:16">
      <c r="A74" s="32">
        <v>1955</v>
      </c>
      <c r="B74" s="32">
        <v>1</v>
      </c>
      <c r="C74" s="32">
        <v>242</v>
      </c>
      <c r="D74" s="32">
        <v>73</v>
      </c>
      <c r="E74" s="32" cm="1">
        <f t="array" ref="E74:P85">_xlfn.MUNIT(12)</f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32">
        <v>1955</v>
      </c>
      <c r="B75" s="32">
        <v>2</v>
      </c>
      <c r="C75" s="32">
        <v>233</v>
      </c>
      <c r="D75" s="32">
        <v>74</v>
      </c>
      <c r="E75" s="32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32">
        <v>1955</v>
      </c>
      <c r="B76" s="32">
        <v>3</v>
      </c>
      <c r="C76" s="32">
        <v>267</v>
      </c>
      <c r="D76" s="32">
        <v>75</v>
      </c>
      <c r="E76" s="32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32">
        <v>1955</v>
      </c>
      <c r="B77" s="32">
        <v>4</v>
      </c>
      <c r="C77" s="32">
        <v>269</v>
      </c>
      <c r="D77" s="32">
        <v>76</v>
      </c>
      <c r="E77" s="32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32">
        <v>1955</v>
      </c>
      <c r="B78" s="32">
        <v>5</v>
      </c>
      <c r="C78" s="32">
        <v>270</v>
      </c>
      <c r="D78" s="32">
        <v>77</v>
      </c>
      <c r="E78" s="32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32">
        <v>1955</v>
      </c>
      <c r="B79" s="32">
        <v>6</v>
      </c>
      <c r="C79" s="32">
        <v>315</v>
      </c>
      <c r="D79" s="32">
        <v>78</v>
      </c>
      <c r="E79" s="32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32">
        <v>1955</v>
      </c>
      <c r="B80" s="32">
        <v>7</v>
      </c>
      <c r="C80" s="32">
        <v>364</v>
      </c>
      <c r="D80" s="32">
        <v>79</v>
      </c>
      <c r="E80" s="32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32">
        <v>1955</v>
      </c>
      <c r="B81" s="32">
        <v>8</v>
      </c>
      <c r="C81" s="32">
        <v>347</v>
      </c>
      <c r="D81" s="32">
        <v>80</v>
      </c>
      <c r="E81" s="32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</row>
    <row r="82" spans="1:16">
      <c r="A82" s="32">
        <v>1955</v>
      </c>
      <c r="B82" s="32">
        <v>9</v>
      </c>
      <c r="C82" s="32">
        <v>312</v>
      </c>
      <c r="D82" s="32">
        <v>81</v>
      </c>
      <c r="E82" s="3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</row>
    <row r="83" spans="1:16">
      <c r="A83" s="32">
        <v>1955</v>
      </c>
      <c r="B83" s="32">
        <v>10</v>
      </c>
      <c r="C83" s="32">
        <v>274</v>
      </c>
      <c r="D83" s="32">
        <v>82</v>
      </c>
      <c r="E83" s="32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>
      <c r="A84" s="32">
        <v>1955</v>
      </c>
      <c r="B84" s="32">
        <v>11</v>
      </c>
      <c r="C84" s="32">
        <v>237</v>
      </c>
      <c r="D84" s="32">
        <v>83</v>
      </c>
      <c r="E84" s="32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>
      <c r="A85" s="32">
        <v>1955</v>
      </c>
      <c r="B85" s="32">
        <v>12</v>
      </c>
      <c r="C85" s="32">
        <v>278</v>
      </c>
      <c r="D85" s="32">
        <v>84</v>
      </c>
      <c r="E85" s="32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>
      <c r="A86" s="32">
        <v>1956</v>
      </c>
      <c r="B86" s="32">
        <v>1</v>
      </c>
      <c r="C86" s="32">
        <v>284</v>
      </c>
      <c r="D86" s="32">
        <v>85</v>
      </c>
      <c r="E86" s="32" cm="1">
        <f t="array" ref="E86:P97">_xlfn.MUNIT(12)</f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32">
        <v>1956</v>
      </c>
      <c r="B87" s="32">
        <v>2</v>
      </c>
      <c r="C87" s="32">
        <v>277</v>
      </c>
      <c r="D87" s="32">
        <v>86</v>
      </c>
      <c r="E87" s="32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32">
        <v>1956</v>
      </c>
      <c r="B88" s="32">
        <v>3</v>
      </c>
      <c r="C88" s="32">
        <v>317</v>
      </c>
      <c r="D88" s="32">
        <v>87</v>
      </c>
      <c r="E88" s="32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s="32">
        <v>1956</v>
      </c>
      <c r="B89" s="32">
        <v>4</v>
      </c>
      <c r="C89" s="32">
        <v>313</v>
      </c>
      <c r="D89" s="32">
        <v>88</v>
      </c>
      <c r="E89" s="32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s="32">
        <v>1956</v>
      </c>
      <c r="B90" s="32">
        <v>5</v>
      </c>
      <c r="C90" s="32">
        <v>318</v>
      </c>
      <c r="D90" s="32">
        <v>89</v>
      </c>
      <c r="E90" s="32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32">
        <v>1956</v>
      </c>
      <c r="B91" s="32">
        <v>6</v>
      </c>
      <c r="C91" s="32">
        <v>374</v>
      </c>
      <c r="D91" s="32">
        <v>90</v>
      </c>
      <c r="E91" s="32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s="32">
        <v>1956</v>
      </c>
      <c r="B92" s="32">
        <v>7</v>
      </c>
      <c r="C92" s="32">
        <v>413</v>
      </c>
      <c r="D92" s="32">
        <v>91</v>
      </c>
      <c r="E92" s="3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32">
        <v>1956</v>
      </c>
      <c r="B93" s="32">
        <v>8</v>
      </c>
      <c r="C93" s="32">
        <v>405</v>
      </c>
      <c r="D93" s="32">
        <v>92</v>
      </c>
      <c r="E93" s="32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</row>
    <row r="94" spans="1:16">
      <c r="A94" s="32">
        <v>1956</v>
      </c>
      <c r="B94" s="32">
        <v>9</v>
      </c>
      <c r="C94" s="32">
        <v>355</v>
      </c>
      <c r="D94" s="32">
        <v>93</v>
      </c>
      <c r="E94" s="32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</row>
    <row r="95" spans="1:16">
      <c r="A95" s="32">
        <v>1956</v>
      </c>
      <c r="B95" s="32">
        <v>10</v>
      </c>
      <c r="C95" s="32">
        <v>306</v>
      </c>
      <c r="D95" s="32">
        <v>94</v>
      </c>
      <c r="E95" s="32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</row>
    <row r="96" spans="1:16">
      <c r="A96" s="32">
        <v>1956</v>
      </c>
      <c r="B96" s="32">
        <v>11</v>
      </c>
      <c r="C96" s="32">
        <v>271</v>
      </c>
      <c r="D96" s="32">
        <v>95</v>
      </c>
      <c r="E96" s="32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>
      <c r="A97" s="32">
        <v>1956</v>
      </c>
      <c r="B97" s="32">
        <v>12</v>
      </c>
      <c r="C97" s="32">
        <v>306</v>
      </c>
      <c r="D97" s="32">
        <v>96</v>
      </c>
      <c r="E97" s="32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</row>
    <row r="98" spans="1:16">
      <c r="A98" s="32">
        <v>1957</v>
      </c>
      <c r="B98" s="32">
        <v>1</v>
      </c>
      <c r="C98" s="32">
        <v>315</v>
      </c>
      <c r="D98" s="32">
        <v>97</v>
      </c>
      <c r="E98" s="32" cm="1">
        <f t="array" ref="E98:P109">_xlfn.MUNIT(12)</f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s="32">
        <v>1957</v>
      </c>
      <c r="B99" s="32">
        <v>2</v>
      </c>
      <c r="C99" s="32">
        <v>301</v>
      </c>
      <c r="D99" s="32">
        <v>98</v>
      </c>
      <c r="E99" s="32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s="32">
        <v>1957</v>
      </c>
      <c r="B100" s="32">
        <v>3</v>
      </c>
      <c r="C100" s="32">
        <v>356</v>
      </c>
      <c r="D100" s="32">
        <v>99</v>
      </c>
      <c r="E100" s="32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s="32">
        <v>1957</v>
      </c>
      <c r="B101" s="32">
        <v>4</v>
      </c>
      <c r="C101" s="32">
        <v>348</v>
      </c>
      <c r="D101" s="32">
        <v>100</v>
      </c>
      <c r="E101" s="32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32">
        <v>1957</v>
      </c>
      <c r="B102" s="32">
        <v>5</v>
      </c>
      <c r="C102" s="32">
        <v>355</v>
      </c>
      <c r="D102" s="32">
        <v>101</v>
      </c>
      <c r="E102" s="3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s="32">
        <v>1957</v>
      </c>
      <c r="B103" s="32">
        <v>6</v>
      </c>
      <c r="C103" s="32">
        <v>422</v>
      </c>
      <c r="D103" s="32">
        <v>102</v>
      </c>
      <c r="E103" s="32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s="32">
        <v>1957</v>
      </c>
      <c r="B104" s="32">
        <v>7</v>
      </c>
      <c r="C104" s="32">
        <v>465</v>
      </c>
      <c r="D104" s="32">
        <v>103</v>
      </c>
      <c r="E104" s="32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s="32">
        <v>1957</v>
      </c>
      <c r="B105" s="32">
        <v>8</v>
      </c>
      <c r="C105" s="32">
        <v>467</v>
      </c>
      <c r="D105" s="32">
        <v>104</v>
      </c>
      <c r="E105" s="32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</row>
    <row r="106" spans="1:16">
      <c r="A106" s="32">
        <v>1957</v>
      </c>
      <c r="B106" s="32">
        <v>9</v>
      </c>
      <c r="C106" s="32">
        <v>404</v>
      </c>
      <c r="D106" s="32">
        <v>105</v>
      </c>
      <c r="E106" s="32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</row>
    <row r="107" spans="1:16">
      <c r="A107" s="32">
        <v>1957</v>
      </c>
      <c r="B107" s="32">
        <v>10</v>
      </c>
      <c r="C107" s="32">
        <v>347</v>
      </c>
      <c r="D107" s="32">
        <v>106</v>
      </c>
      <c r="E107" s="32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</row>
    <row r="108" spans="1:16">
      <c r="A108" s="32">
        <v>1957</v>
      </c>
      <c r="B108" s="32">
        <v>11</v>
      </c>
      <c r="C108" s="32">
        <v>305</v>
      </c>
      <c r="D108" s="32">
        <v>107</v>
      </c>
      <c r="E108" s="32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>
      <c r="A109" s="32">
        <v>1957</v>
      </c>
      <c r="B109" s="32">
        <v>12</v>
      </c>
      <c r="C109" s="32">
        <v>336</v>
      </c>
      <c r="D109" s="32">
        <v>108</v>
      </c>
      <c r="E109" s="32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</row>
    <row r="110" spans="1:16">
      <c r="A110" s="32">
        <v>1958</v>
      </c>
      <c r="B110" s="32">
        <v>1</v>
      </c>
      <c r="C110" s="32">
        <v>340</v>
      </c>
      <c r="D110" s="32">
        <v>109</v>
      </c>
      <c r="E110" s="32" cm="1">
        <f t="array" ref="E110:P121">_xlfn.MUNIT(12)</f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32">
        <v>1958</v>
      </c>
      <c r="B111" s="32">
        <v>2</v>
      </c>
      <c r="C111" s="32">
        <v>318</v>
      </c>
      <c r="D111" s="32">
        <v>110</v>
      </c>
      <c r="E111" s="32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s="32">
        <v>1958</v>
      </c>
      <c r="B112" s="32">
        <v>3</v>
      </c>
      <c r="C112" s="32">
        <v>362</v>
      </c>
      <c r="D112" s="32">
        <v>111</v>
      </c>
      <c r="E112" s="3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s="32">
        <v>1958</v>
      </c>
      <c r="B113" s="32">
        <v>4</v>
      </c>
      <c r="C113" s="32">
        <v>348</v>
      </c>
      <c r="D113" s="32">
        <v>112</v>
      </c>
      <c r="E113" s="32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s="32">
        <v>1958</v>
      </c>
      <c r="B114" s="32">
        <v>5</v>
      </c>
      <c r="C114" s="32">
        <v>363</v>
      </c>
      <c r="D114" s="32">
        <v>113</v>
      </c>
      <c r="E114" s="32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s="32">
        <v>1958</v>
      </c>
      <c r="B115" s="32">
        <v>6</v>
      </c>
      <c r="C115" s="32">
        <v>435</v>
      </c>
      <c r="D115" s="32">
        <v>114</v>
      </c>
      <c r="E115" s="32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s="32">
        <v>1958</v>
      </c>
      <c r="B116" s="32">
        <v>7</v>
      </c>
      <c r="C116" s="32">
        <v>491</v>
      </c>
      <c r="D116" s="32">
        <v>115</v>
      </c>
      <c r="E116" s="32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s="32">
        <v>1958</v>
      </c>
      <c r="B117" s="32">
        <v>8</v>
      </c>
      <c r="C117" s="32">
        <v>505</v>
      </c>
      <c r="D117" s="32">
        <v>116</v>
      </c>
      <c r="E117" s="32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</row>
    <row r="118" spans="1:16">
      <c r="A118" s="32">
        <v>1958</v>
      </c>
      <c r="B118" s="32">
        <v>9</v>
      </c>
      <c r="C118" s="32">
        <v>404</v>
      </c>
      <c r="D118" s="32">
        <v>117</v>
      </c>
      <c r="E118" s="32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</row>
    <row r="119" spans="1:16">
      <c r="A119" s="32">
        <v>1958</v>
      </c>
      <c r="B119" s="32">
        <v>10</v>
      </c>
      <c r="C119" s="32">
        <v>359</v>
      </c>
      <c r="D119" s="32">
        <v>118</v>
      </c>
      <c r="E119" s="32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</row>
    <row r="120" spans="1:16">
      <c r="A120" s="32">
        <v>1958</v>
      </c>
      <c r="B120" s="32">
        <v>11</v>
      </c>
      <c r="C120" s="32">
        <v>310</v>
      </c>
      <c r="D120" s="32">
        <v>119</v>
      </c>
      <c r="E120" s="32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</row>
    <row r="121" spans="1:16">
      <c r="A121" s="32">
        <v>1958</v>
      </c>
      <c r="B121" s="32">
        <v>12</v>
      </c>
      <c r="C121" s="32">
        <v>337</v>
      </c>
      <c r="D121" s="32">
        <v>120</v>
      </c>
      <c r="E121" s="32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>
      <c r="A122" s="32">
        <v>1959</v>
      </c>
      <c r="B122" s="32">
        <v>1</v>
      </c>
      <c r="C122" s="32">
        <v>360</v>
      </c>
      <c r="D122" s="32">
        <v>121</v>
      </c>
      <c r="E122" s="32" cm="1">
        <f t="array" ref="E122:P133">_xlfn.MUNIT(12)</f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s="32">
        <v>1959</v>
      </c>
      <c r="B123" s="32">
        <v>2</v>
      </c>
      <c r="C123" s="32">
        <v>342</v>
      </c>
      <c r="D123" s="32">
        <v>122</v>
      </c>
      <c r="E123" s="32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s="32">
        <v>1959</v>
      </c>
      <c r="B124" s="32">
        <v>3</v>
      </c>
      <c r="C124" s="32">
        <v>406</v>
      </c>
      <c r="D124" s="32">
        <v>123</v>
      </c>
      <c r="E124" s="32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s="32">
        <v>1959</v>
      </c>
      <c r="B125" s="32">
        <v>4</v>
      </c>
      <c r="C125" s="32">
        <v>396</v>
      </c>
      <c r="D125" s="32">
        <v>124</v>
      </c>
      <c r="E125" s="32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s="32">
        <v>1959</v>
      </c>
      <c r="B126" s="32">
        <v>5</v>
      </c>
      <c r="C126" s="32">
        <v>420</v>
      </c>
      <c r="D126" s="32">
        <v>125</v>
      </c>
      <c r="E126" s="32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s="32">
        <v>1959</v>
      </c>
      <c r="B127" s="32">
        <v>6</v>
      </c>
      <c r="C127" s="32">
        <v>472</v>
      </c>
      <c r="D127" s="32">
        <v>126</v>
      </c>
      <c r="E127" s="32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s="32">
        <v>1959</v>
      </c>
      <c r="B128" s="32">
        <v>7</v>
      </c>
      <c r="C128" s="32">
        <v>548</v>
      </c>
      <c r="D128" s="32">
        <v>127</v>
      </c>
      <c r="E128" s="32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s="32">
        <v>1959</v>
      </c>
      <c r="B129" s="32">
        <v>8</v>
      </c>
      <c r="C129" s="32">
        <v>559</v>
      </c>
      <c r="D129" s="32">
        <v>128</v>
      </c>
      <c r="E129" s="32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</row>
    <row r="130" spans="1:16">
      <c r="A130" s="32">
        <v>1959</v>
      </c>
      <c r="B130" s="32">
        <v>9</v>
      </c>
      <c r="C130" s="32">
        <v>463</v>
      </c>
      <c r="D130" s="32">
        <v>129</v>
      </c>
      <c r="E130" s="32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1:16">
      <c r="A131" s="32">
        <v>1959</v>
      </c>
      <c r="B131" s="32">
        <v>10</v>
      </c>
      <c r="C131" s="32">
        <v>407</v>
      </c>
      <c r="D131" s="32">
        <v>130</v>
      </c>
      <c r="E131" s="32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</row>
    <row r="132" spans="1:16">
      <c r="A132" s="32">
        <v>1959</v>
      </c>
      <c r="B132" s="32">
        <v>11</v>
      </c>
      <c r="C132" s="32">
        <v>362</v>
      </c>
      <c r="D132" s="32">
        <v>131</v>
      </c>
      <c r="E132" s="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</row>
    <row r="133" spans="1:16">
      <c r="A133" s="32">
        <v>1959</v>
      </c>
      <c r="B133" s="32">
        <v>12</v>
      </c>
      <c r="C133" s="32">
        <v>405</v>
      </c>
      <c r="D133" s="32">
        <v>132</v>
      </c>
      <c r="E133" s="32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</row>
    <row r="134" spans="1:16">
      <c r="A134" s="32">
        <v>1960</v>
      </c>
      <c r="B134" s="32">
        <v>1</v>
      </c>
      <c r="C134" s="32">
        <v>417</v>
      </c>
      <c r="D134" s="32">
        <v>133</v>
      </c>
      <c r="E134" s="32" cm="1">
        <f t="array" ref="E134:P145">_xlfn.MUNIT(12)</f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s="32">
        <v>1960</v>
      </c>
      <c r="B135" s="32">
        <v>2</v>
      </c>
      <c r="C135" s="32">
        <v>391</v>
      </c>
      <c r="D135" s="32">
        <v>134</v>
      </c>
      <c r="E135" s="32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s="32">
        <v>1960</v>
      </c>
      <c r="B136" s="32">
        <v>3</v>
      </c>
      <c r="C136" s="32">
        <v>419</v>
      </c>
      <c r="D136" s="32">
        <v>135</v>
      </c>
      <c r="E136" s="32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s="32">
        <v>1960</v>
      </c>
      <c r="B137" s="32">
        <v>4</v>
      </c>
      <c r="C137" s="32">
        <v>461</v>
      </c>
      <c r="D137" s="32">
        <v>136</v>
      </c>
      <c r="E137" s="32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s="32">
        <v>1960</v>
      </c>
      <c r="B138" s="32">
        <v>5</v>
      </c>
      <c r="C138" s="32">
        <v>472</v>
      </c>
      <c r="D138" s="32">
        <v>137</v>
      </c>
      <c r="E138" s="32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s="32">
        <v>1960</v>
      </c>
      <c r="B139" s="32">
        <v>6</v>
      </c>
      <c r="C139" s="32">
        <v>535</v>
      </c>
      <c r="D139" s="32">
        <v>138</v>
      </c>
      <c r="E139" s="32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s="32">
        <v>1960</v>
      </c>
      <c r="B140" s="32">
        <v>7</v>
      </c>
      <c r="C140" s="32">
        <v>622</v>
      </c>
      <c r="D140" s="32">
        <v>139</v>
      </c>
      <c r="E140" s="32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 s="32">
        <v>1960</v>
      </c>
      <c r="B141" s="32">
        <v>8</v>
      </c>
      <c r="C141" s="32">
        <v>606</v>
      </c>
      <c r="D141" s="32">
        <v>140</v>
      </c>
      <c r="E141" s="32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</row>
    <row r="142" spans="1:16">
      <c r="A142" s="32">
        <v>1960</v>
      </c>
      <c r="B142" s="32">
        <v>9</v>
      </c>
      <c r="C142" s="32">
        <v>508</v>
      </c>
      <c r="D142" s="32">
        <v>141</v>
      </c>
      <c r="E142" s="3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 spans="1:16">
      <c r="A143" s="32">
        <v>1960</v>
      </c>
      <c r="B143" s="32">
        <v>10</v>
      </c>
      <c r="C143" s="32">
        <v>461</v>
      </c>
      <c r="D143" s="32">
        <v>142</v>
      </c>
      <c r="E143" s="32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</row>
    <row r="144" spans="1:16">
      <c r="A144" s="32">
        <v>1960</v>
      </c>
      <c r="B144" s="32">
        <v>11</v>
      </c>
      <c r="C144" s="32">
        <v>390</v>
      </c>
      <c r="D144" s="32">
        <v>143</v>
      </c>
      <c r="E144" s="32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</row>
    <row r="145" spans="1:16">
      <c r="A145" s="32">
        <v>1960</v>
      </c>
      <c r="B145" s="32">
        <v>12</v>
      </c>
      <c r="C145" s="32">
        <v>432</v>
      </c>
      <c r="D145" s="32">
        <v>144</v>
      </c>
      <c r="E145" s="32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6133-ED5B-48D3-BD8B-F2830895AAB3}">
  <dimension ref="A1:G402"/>
  <sheetViews>
    <sheetView workbookViewId="0">
      <selection activeCell="H7" sqref="H7"/>
    </sheetView>
  </sheetViews>
  <sheetFormatPr defaultRowHeight="14.45"/>
  <cols>
    <col min="2" max="2" width="18.28515625" customWidth="1"/>
    <col min="3" max="3" width="19.85546875" customWidth="1"/>
    <col min="4" max="4" width="21.140625" customWidth="1"/>
    <col min="5" max="5" width="18.140625" customWidth="1"/>
    <col min="6" max="6" width="21" customWidth="1"/>
    <col min="7" max="7" width="18.140625" customWidth="1"/>
    <col min="8" max="8" width="20.5703125" customWidth="1"/>
  </cols>
  <sheetData>
    <row r="1" spans="1:7">
      <c r="A1" s="4" t="s">
        <v>0</v>
      </c>
      <c r="B1" s="16" t="s">
        <v>2</v>
      </c>
      <c r="C1" s="19" t="s">
        <v>43</v>
      </c>
      <c r="D1" s="19" t="s">
        <v>44</v>
      </c>
      <c r="E1" s="19" t="s">
        <v>45</v>
      </c>
      <c r="F1" s="19" t="s">
        <v>46</v>
      </c>
      <c r="G1" t="s">
        <v>47</v>
      </c>
    </row>
    <row r="2" spans="1:7">
      <c r="A2" s="7">
        <v>1</v>
      </c>
      <c r="B2" s="17">
        <v>68.346715680000003</v>
      </c>
      <c r="C2" s="11">
        <f>AVERAGE(B2:B401)</f>
        <v>69.956398927700079</v>
      </c>
      <c r="D2" s="11">
        <v>0</v>
      </c>
      <c r="E2" s="11">
        <v>0</v>
      </c>
      <c r="F2">
        <f t="shared" ref="F2:F65" si="0">(B2-$C$2)^2</f>
        <v>2.5910801579262643</v>
      </c>
    </row>
    <row r="3" spans="1:7">
      <c r="A3" s="7">
        <v>2</v>
      </c>
      <c r="B3" s="17">
        <v>69.648484909999993</v>
      </c>
      <c r="C3" s="11"/>
      <c r="D3" s="11">
        <v>68.346715680000003</v>
      </c>
      <c r="E3" s="11">
        <f t="shared" ref="E3:E66" si="1">D3-$C$2</f>
        <v>-1.609683247700076</v>
      </c>
      <c r="F3">
        <f t="shared" si="0"/>
        <v>9.4811042296208375E-2</v>
      </c>
    </row>
    <row r="4" spans="1:7">
      <c r="A4" s="7">
        <v>3</v>
      </c>
      <c r="B4" s="17">
        <v>69.340707750000007</v>
      </c>
      <c r="C4" s="11"/>
      <c r="D4" s="11">
        <v>69.648484909999993</v>
      </c>
      <c r="E4" s="11">
        <f t="shared" si="1"/>
        <v>-0.3079140177000852</v>
      </c>
      <c r="F4">
        <f t="shared" si="0"/>
        <v>0.37907562629770108</v>
      </c>
    </row>
    <row r="5" spans="1:7">
      <c r="A5" s="7">
        <v>4</v>
      </c>
      <c r="B5" s="17">
        <v>69.947982330000002</v>
      </c>
      <c r="C5" s="11"/>
      <c r="D5" s="11">
        <v>69.340707750000007</v>
      </c>
      <c r="E5" s="11">
        <f t="shared" si="1"/>
        <v>-0.61569117770007153</v>
      </c>
      <c r="F5">
        <f t="shared" si="0"/>
        <v>7.0839116844933405E-5</v>
      </c>
    </row>
    <row r="6" spans="1:7">
      <c r="A6" s="7">
        <v>5</v>
      </c>
      <c r="B6" s="17">
        <v>68.760614149999995</v>
      </c>
      <c r="C6" s="11"/>
      <c r="D6" s="11">
        <v>69.947982330000002</v>
      </c>
      <c r="E6" s="11">
        <f t="shared" si="1"/>
        <v>-8.4165977000765224E-3</v>
      </c>
      <c r="F6">
        <f t="shared" si="0"/>
        <v>1.4299012345792383</v>
      </c>
    </row>
    <row r="7" spans="1:7">
      <c r="A7" s="7">
        <v>6</v>
      </c>
      <c r="B7" s="17">
        <v>68.681916150000006</v>
      </c>
      <c r="C7" s="11"/>
      <c r="D7" s="11">
        <v>68.760614149999995</v>
      </c>
      <c r="E7" s="11">
        <f t="shared" si="1"/>
        <v>-1.1957847777000836</v>
      </c>
      <c r="F7">
        <f t="shared" si="0"/>
        <v>1.6243063506540918</v>
      </c>
    </row>
    <row r="8" spans="1:7">
      <c r="A8" s="7">
        <v>7</v>
      </c>
      <c r="B8" s="17">
        <v>69.470476039999994</v>
      </c>
      <c r="C8" s="11"/>
      <c r="D8" s="11">
        <v>68.681916150000006</v>
      </c>
      <c r="E8" s="11">
        <f t="shared" si="1"/>
        <v>-1.2744827777000722</v>
      </c>
      <c r="F8">
        <f t="shared" si="0"/>
        <v>0.23612105279078896</v>
      </c>
    </row>
    <row r="9" spans="1:7">
      <c r="A9" s="7">
        <v>8</v>
      </c>
      <c r="B9" s="17">
        <v>68.417010970000007</v>
      </c>
      <c r="C9" s="11"/>
      <c r="D9" s="11">
        <v>69.470476039999994</v>
      </c>
      <c r="E9" s="11">
        <f t="shared" si="1"/>
        <v>-0.48592288770008452</v>
      </c>
      <c r="F9">
        <f t="shared" si="0"/>
        <v>2.3697152843119977</v>
      </c>
    </row>
    <row r="10" spans="1:7">
      <c r="A10" s="7">
        <v>9</v>
      </c>
      <c r="B10" s="17">
        <v>69.324211640000001</v>
      </c>
      <c r="C10" s="11"/>
      <c r="D10" s="11">
        <v>68.417010970000007</v>
      </c>
      <c r="E10" s="11">
        <f t="shared" si="1"/>
        <v>-1.5393879577000718</v>
      </c>
      <c r="F10">
        <f t="shared" si="0"/>
        <v>0.39966076672958012</v>
      </c>
    </row>
    <row r="11" spans="1:7">
      <c r="A11" s="7">
        <v>10</v>
      </c>
      <c r="B11" s="17">
        <v>69.690276130000001</v>
      </c>
      <c r="C11" s="11"/>
      <c r="D11" s="11">
        <v>69.324211640000001</v>
      </c>
      <c r="E11" s="11">
        <f t="shared" si="1"/>
        <v>-0.63218728770007715</v>
      </c>
      <c r="F11">
        <f t="shared" si="0"/>
        <v>7.0821343455716501E-2</v>
      </c>
    </row>
    <row r="12" spans="1:7">
      <c r="A12" s="7">
        <v>11</v>
      </c>
      <c r="B12" s="17">
        <v>68.274545989999993</v>
      </c>
      <c r="C12" s="11"/>
      <c r="D12" s="11">
        <v>69.690276130000001</v>
      </c>
      <c r="E12" s="11">
        <f t="shared" si="1"/>
        <v>-0.26612279770007774</v>
      </c>
      <c r="F12">
        <f t="shared" si="0"/>
        <v>2.8286293040504082</v>
      </c>
    </row>
    <row r="13" spans="1:7">
      <c r="A13" s="7">
        <v>12</v>
      </c>
      <c r="B13" s="17">
        <v>67.754401999999999</v>
      </c>
      <c r="C13" s="11"/>
      <c r="D13" s="11">
        <v>68.274545989999993</v>
      </c>
      <c r="E13" s="11">
        <f t="shared" si="1"/>
        <v>-1.6818529377000857</v>
      </c>
      <c r="F13">
        <f t="shared" si="0"/>
        <v>4.8487904696005897</v>
      </c>
    </row>
    <row r="14" spans="1:7">
      <c r="A14" s="7">
        <v>13</v>
      </c>
      <c r="B14" s="17">
        <v>69.775397490000003</v>
      </c>
      <c r="C14" s="11"/>
      <c r="D14" s="11">
        <v>67.754401999999999</v>
      </c>
      <c r="E14" s="11">
        <f t="shared" si="1"/>
        <v>-2.2019969277000797</v>
      </c>
      <c r="F14">
        <f t="shared" si="0"/>
        <v>3.2761520449494305E-2</v>
      </c>
    </row>
    <row r="15" spans="1:7">
      <c r="A15" s="7">
        <v>14</v>
      </c>
      <c r="B15" s="17">
        <v>71.434473879999999</v>
      </c>
      <c r="C15" s="11"/>
      <c r="D15" s="11">
        <v>69.775397490000003</v>
      </c>
      <c r="E15" s="11">
        <f t="shared" si="1"/>
        <v>-0.18100143770007548</v>
      </c>
      <c r="F15">
        <f t="shared" si="0"/>
        <v>2.1847055646164111</v>
      </c>
    </row>
    <row r="16" spans="1:7">
      <c r="A16" s="7">
        <v>15</v>
      </c>
      <c r="B16" s="17">
        <v>70.796156440000004</v>
      </c>
      <c r="C16" s="11"/>
      <c r="D16" s="11">
        <v>71.434473879999999</v>
      </c>
      <c r="E16" s="11">
        <f t="shared" si="1"/>
        <v>1.4780749522999201</v>
      </c>
      <c r="F16">
        <f t="shared" si="0"/>
        <v>0.70519267946415987</v>
      </c>
    </row>
    <row r="17" spans="1:6">
      <c r="A17" s="7">
        <v>16</v>
      </c>
      <c r="B17" s="17">
        <v>70.452113510000004</v>
      </c>
      <c r="C17" s="11"/>
      <c r="D17" s="11">
        <v>70.796156440000004</v>
      </c>
      <c r="E17" s="11">
        <f t="shared" si="1"/>
        <v>0.83975751229992568</v>
      </c>
      <c r="F17">
        <f t="shared" si="0"/>
        <v>0.24573294710478927</v>
      </c>
    </row>
    <row r="18" spans="1:6">
      <c r="A18" s="7">
        <v>17</v>
      </c>
      <c r="B18" s="17">
        <v>70.256264740000006</v>
      </c>
      <c r="C18" s="11"/>
      <c r="D18" s="11">
        <v>70.452113510000004</v>
      </c>
      <c r="E18" s="11">
        <f t="shared" si="1"/>
        <v>0.49571458229992515</v>
      </c>
      <c r="F18">
        <f t="shared" si="0"/>
        <v>8.991950538629527E-2</v>
      </c>
    </row>
    <row r="19" spans="1:6">
      <c r="A19" s="7">
        <v>18</v>
      </c>
      <c r="B19" s="17">
        <v>70.347747769999998</v>
      </c>
      <c r="C19" s="11"/>
      <c r="D19" s="11">
        <v>70.256264740000006</v>
      </c>
      <c r="E19" s="11">
        <f t="shared" si="1"/>
        <v>0.29986581229992737</v>
      </c>
      <c r="F19">
        <f t="shared" si="0"/>
        <v>0.15315391636948719</v>
      </c>
    </row>
    <row r="20" spans="1:6">
      <c r="A20" s="7">
        <v>19</v>
      </c>
      <c r="B20" s="17">
        <v>71.417753250000004</v>
      </c>
      <c r="C20" s="11"/>
      <c r="D20" s="11">
        <v>70.347747769999998</v>
      </c>
      <c r="E20" s="11">
        <f t="shared" si="1"/>
        <v>0.3913488422999194</v>
      </c>
      <c r="F20">
        <f t="shared" si="0"/>
        <v>2.1355564553046742</v>
      </c>
    </row>
    <row r="21" spans="1:6">
      <c r="A21" s="7">
        <v>20</v>
      </c>
      <c r="B21" s="17">
        <v>69.239329220000002</v>
      </c>
      <c r="C21" s="11"/>
      <c r="D21" s="11">
        <v>71.417753250000004</v>
      </c>
      <c r="E21" s="11">
        <f t="shared" si="1"/>
        <v>1.4613543222999255</v>
      </c>
      <c r="F21">
        <f t="shared" si="0"/>
        <v>0.51418896570107342</v>
      </c>
    </row>
    <row r="22" spans="1:6">
      <c r="A22" s="7">
        <v>21</v>
      </c>
      <c r="B22" s="17">
        <v>69.794732289999999</v>
      </c>
      <c r="C22" s="11"/>
      <c r="D22" s="11">
        <v>69.239329220000002</v>
      </c>
      <c r="E22" s="11">
        <f t="shared" si="1"/>
        <v>-0.71706970770007672</v>
      </c>
      <c r="F22">
        <f t="shared" si="0"/>
        <v>2.6136101745248837E-2</v>
      </c>
    </row>
    <row r="23" spans="1:6">
      <c r="A23" s="7">
        <v>22</v>
      </c>
      <c r="B23" s="17">
        <v>69.723031649999996</v>
      </c>
      <c r="C23" s="11"/>
      <c r="D23" s="11">
        <v>69.794732289999999</v>
      </c>
      <c r="E23" s="11">
        <f t="shared" si="1"/>
        <v>-0.16166663770007972</v>
      </c>
      <c r="F23">
        <f t="shared" si="0"/>
        <v>5.4460286301147569E-2</v>
      </c>
    </row>
    <row r="24" spans="1:6">
      <c r="A24" s="7">
        <v>23</v>
      </c>
      <c r="B24" s="17">
        <v>69.671140370000003</v>
      </c>
      <c r="C24" s="11"/>
      <c r="D24" s="11">
        <v>69.723031649999996</v>
      </c>
      <c r="E24" s="11">
        <f t="shared" si="1"/>
        <v>-0.23336727770008281</v>
      </c>
      <c r="F24">
        <f t="shared" si="0"/>
        <v>8.1372444741127162E-2</v>
      </c>
    </row>
    <row r="25" spans="1:6">
      <c r="A25" s="7">
        <v>24</v>
      </c>
      <c r="B25" s="17">
        <v>69.583524999999995</v>
      </c>
      <c r="C25" s="11"/>
      <c r="D25" s="11">
        <v>69.671140370000003</v>
      </c>
      <c r="E25" s="11">
        <f t="shared" si="1"/>
        <v>-0.28525855770007524</v>
      </c>
      <c r="F25">
        <f t="shared" si="0"/>
        <v>0.13903496595848755</v>
      </c>
    </row>
    <row r="26" spans="1:6">
      <c r="A26" s="7">
        <v>25</v>
      </c>
      <c r="B26" s="17">
        <v>69.473625769999998</v>
      </c>
      <c r="C26" s="11"/>
      <c r="D26" s="11">
        <v>69.583524999999995</v>
      </c>
      <c r="E26" s="11">
        <f t="shared" si="1"/>
        <v>-0.3728739277000841</v>
      </c>
      <c r="F26">
        <f t="shared" si="0"/>
        <v>0.23306992179570674</v>
      </c>
    </row>
    <row r="27" spans="1:6">
      <c r="A27" s="7">
        <v>26</v>
      </c>
      <c r="B27" s="17">
        <v>68.582921769999999</v>
      </c>
      <c r="C27" s="11"/>
      <c r="D27" s="11">
        <v>69.473625769999998</v>
      </c>
      <c r="E27" s="11">
        <f t="shared" si="1"/>
        <v>-0.48277315770008045</v>
      </c>
      <c r="F27">
        <f t="shared" si="0"/>
        <v>1.8864395027238903</v>
      </c>
    </row>
    <row r="28" spans="1:6">
      <c r="A28" s="7">
        <v>27</v>
      </c>
      <c r="B28" s="17">
        <v>69.491004529999998</v>
      </c>
      <c r="C28" s="11"/>
      <c r="D28" s="11">
        <v>68.582921769999999</v>
      </c>
      <c r="E28" s="11">
        <f t="shared" si="1"/>
        <v>-1.3734771577000799</v>
      </c>
      <c r="F28">
        <f t="shared" si="0"/>
        <v>0.21659194541062091</v>
      </c>
    </row>
    <row r="29" spans="1:6">
      <c r="A29" s="7">
        <v>28</v>
      </c>
      <c r="B29" s="17">
        <v>71.790669219999998</v>
      </c>
      <c r="C29" s="11"/>
      <c r="D29" s="11">
        <v>69.491004529999998</v>
      </c>
      <c r="E29" s="11">
        <f t="shared" si="1"/>
        <v>-0.46539439770008073</v>
      </c>
      <c r="F29">
        <f t="shared" si="0"/>
        <v>3.3645475052140319</v>
      </c>
    </row>
    <row r="30" spans="1:6">
      <c r="A30" s="7">
        <v>29</v>
      </c>
      <c r="B30" s="17">
        <v>71.170967149999996</v>
      </c>
      <c r="C30" s="11"/>
      <c r="D30" s="11">
        <v>71.790669219999998</v>
      </c>
      <c r="E30" s="11">
        <f t="shared" si="1"/>
        <v>1.8342702922999194</v>
      </c>
      <c r="F30">
        <f t="shared" si="0"/>
        <v>1.4751759666207807</v>
      </c>
    </row>
    <row r="31" spans="1:6">
      <c r="A31" s="7">
        <v>30</v>
      </c>
      <c r="B31" s="17">
        <v>70.163994479999999</v>
      </c>
      <c r="C31" s="11"/>
      <c r="D31" s="11">
        <v>71.170967149999996</v>
      </c>
      <c r="E31" s="11">
        <f t="shared" si="1"/>
        <v>1.214568222299917</v>
      </c>
      <c r="F31">
        <f t="shared" si="0"/>
        <v>4.3095913334709184E-2</v>
      </c>
    </row>
    <row r="32" spans="1:6">
      <c r="A32" s="7">
        <v>31</v>
      </c>
      <c r="B32" s="17">
        <v>69.059807509999999</v>
      </c>
      <c r="C32" s="11"/>
      <c r="D32" s="11">
        <v>70.163994479999999</v>
      </c>
      <c r="E32" s="11">
        <f t="shared" si="1"/>
        <v>0.20759555229992088</v>
      </c>
      <c r="F32">
        <f t="shared" si="0"/>
        <v>0.80387617029343894</v>
      </c>
    </row>
    <row r="33" spans="1:6">
      <c r="A33" s="7">
        <v>32</v>
      </c>
      <c r="B33" s="17">
        <v>69.269211609999999</v>
      </c>
      <c r="C33" s="11"/>
      <c r="D33" s="11">
        <v>69.059807509999999</v>
      </c>
      <c r="E33" s="11">
        <f t="shared" si="1"/>
        <v>-0.89659141770007977</v>
      </c>
      <c r="F33">
        <f t="shared" si="0"/>
        <v>0.4722264096078298</v>
      </c>
    </row>
    <row r="34" spans="1:6">
      <c r="A34" s="7">
        <v>33</v>
      </c>
      <c r="B34" s="17">
        <v>70.309751140000003</v>
      </c>
      <c r="C34" s="11"/>
      <c r="D34" s="11">
        <v>69.269211609999999</v>
      </c>
      <c r="E34" s="11">
        <f t="shared" si="1"/>
        <v>-0.68718731770007935</v>
      </c>
      <c r="F34">
        <f t="shared" si="0"/>
        <v>0.12485778593725086</v>
      </c>
    </row>
    <row r="35" spans="1:6">
      <c r="A35" s="7">
        <v>34</v>
      </c>
      <c r="B35" s="17">
        <v>70.034844759999999</v>
      </c>
      <c r="C35" s="11"/>
      <c r="D35" s="11">
        <v>70.309751140000003</v>
      </c>
      <c r="E35" s="11">
        <f t="shared" si="1"/>
        <v>0.35335221229992442</v>
      </c>
      <c r="F35">
        <f t="shared" si="0"/>
        <v>6.1537486052271675E-3</v>
      </c>
    </row>
    <row r="36" spans="1:6">
      <c r="A36" s="7">
        <v>35</v>
      </c>
      <c r="B36" s="17">
        <v>69.474177470000001</v>
      </c>
      <c r="C36" s="11"/>
      <c r="D36" s="11">
        <v>70.034844759999999</v>
      </c>
      <c r="E36" s="11">
        <f t="shared" si="1"/>
        <v>7.8445832299919971E-2</v>
      </c>
      <c r="F36">
        <f t="shared" si="0"/>
        <v>0.23253753426638796</v>
      </c>
    </row>
    <row r="37" spans="1:6">
      <c r="A37" s="7">
        <v>36</v>
      </c>
      <c r="B37" s="17">
        <v>70.077317600000001</v>
      </c>
      <c r="C37" s="11"/>
      <c r="D37" s="11">
        <v>69.474177470000001</v>
      </c>
      <c r="E37" s="11">
        <f t="shared" si="1"/>
        <v>-0.48222145770007785</v>
      </c>
      <c r="F37">
        <f t="shared" si="0"/>
        <v>1.4621325310775932E-2</v>
      </c>
    </row>
    <row r="38" spans="1:6">
      <c r="A38" s="7">
        <v>37</v>
      </c>
      <c r="B38" s="17">
        <v>69.286132550000005</v>
      </c>
      <c r="C38" s="11"/>
      <c r="D38" s="11">
        <v>70.077317600000001</v>
      </c>
      <c r="E38" s="11">
        <f t="shared" si="1"/>
        <v>0.12091867229992204</v>
      </c>
      <c r="F38">
        <f t="shared" si="0"/>
        <v>0.44925701707517784</v>
      </c>
    </row>
    <row r="39" spans="1:6">
      <c r="A39" s="7">
        <v>38</v>
      </c>
      <c r="B39" s="17">
        <v>69.800980879999997</v>
      </c>
      <c r="C39" s="11"/>
      <c r="D39" s="11">
        <v>69.286132550000005</v>
      </c>
      <c r="E39" s="11">
        <f t="shared" si="1"/>
        <v>-0.67026637770007369</v>
      </c>
      <c r="F39">
        <f t="shared" si="0"/>
        <v>2.4154769550904738E-2</v>
      </c>
    </row>
    <row r="40" spans="1:6">
      <c r="A40" s="7">
        <v>39</v>
      </c>
      <c r="B40" s="17">
        <v>70.915070560000004</v>
      </c>
      <c r="C40" s="11"/>
      <c r="D40" s="11">
        <v>69.800980879999997</v>
      </c>
      <c r="E40" s="11">
        <f t="shared" si="1"/>
        <v>-0.15541804770008127</v>
      </c>
      <c r="F40">
        <f t="shared" si="0"/>
        <v>0.91905129857660284</v>
      </c>
    </row>
    <row r="41" spans="1:6">
      <c r="A41" s="7">
        <v>40</v>
      </c>
      <c r="B41" s="17">
        <v>71.968696609999995</v>
      </c>
      <c r="C41" s="11"/>
      <c r="D41" s="11">
        <v>70.915070560000004</v>
      </c>
      <c r="E41" s="11">
        <f t="shared" si="1"/>
        <v>0.95867163229992514</v>
      </c>
      <c r="F41">
        <f t="shared" si="0"/>
        <v>4.0493419621896152</v>
      </c>
    </row>
    <row r="42" spans="1:6">
      <c r="A42" s="7">
        <v>41</v>
      </c>
      <c r="B42" s="17">
        <v>70.816314790000007</v>
      </c>
      <c r="C42" s="11"/>
      <c r="D42" s="11">
        <v>71.968696609999995</v>
      </c>
      <c r="E42" s="11">
        <f t="shared" si="1"/>
        <v>2.0122976822999163</v>
      </c>
      <c r="F42">
        <f t="shared" si="0"/>
        <v>0.73945529023502932</v>
      </c>
    </row>
    <row r="43" spans="1:6">
      <c r="A43" s="7">
        <v>42</v>
      </c>
      <c r="B43" s="17">
        <v>71.266777129999994</v>
      </c>
      <c r="C43" s="11"/>
      <c r="D43" s="11">
        <v>70.816314790000007</v>
      </c>
      <c r="E43" s="11">
        <f t="shared" si="1"/>
        <v>0.85991586229992834</v>
      </c>
      <c r="F43">
        <f t="shared" si="0"/>
        <v>1.7170910330627585</v>
      </c>
    </row>
    <row r="44" spans="1:6">
      <c r="A44" s="7">
        <v>43</v>
      </c>
      <c r="B44" s="17">
        <v>71.54958173</v>
      </c>
      <c r="C44" s="11"/>
      <c r="D44" s="11">
        <v>71.266777129999994</v>
      </c>
      <c r="E44" s="11">
        <f t="shared" si="1"/>
        <v>1.3103782022999155</v>
      </c>
      <c r="F44">
        <f t="shared" si="0"/>
        <v>2.5382314415442302</v>
      </c>
    </row>
    <row r="45" spans="1:6">
      <c r="A45" s="7">
        <v>44</v>
      </c>
      <c r="B45" s="17">
        <v>69.553503259999999</v>
      </c>
      <c r="C45" s="11"/>
      <c r="D45" s="11">
        <v>71.54958173</v>
      </c>
      <c r="E45" s="11">
        <f t="shared" si="1"/>
        <v>1.5931828022999213</v>
      </c>
      <c r="F45">
        <f t="shared" si="0"/>
        <v>0.16232491905149266</v>
      </c>
    </row>
    <row r="46" spans="1:6">
      <c r="A46" s="7">
        <v>45</v>
      </c>
      <c r="B46" s="17">
        <v>68.049288919999995</v>
      </c>
      <c r="C46" s="11"/>
      <c r="D46" s="11">
        <v>69.553503259999999</v>
      </c>
      <c r="E46" s="11">
        <f t="shared" si="1"/>
        <v>-0.40289566770007923</v>
      </c>
      <c r="F46">
        <f t="shared" si="0"/>
        <v>3.6370685814698125</v>
      </c>
    </row>
    <row r="47" spans="1:6">
      <c r="A47" s="7">
        <v>46</v>
      </c>
      <c r="B47" s="17">
        <v>68.658558740000004</v>
      </c>
      <c r="C47" s="11"/>
      <c r="D47" s="11">
        <v>68.049288919999995</v>
      </c>
      <c r="E47" s="11">
        <f t="shared" si="1"/>
        <v>-1.9071100077000835</v>
      </c>
      <c r="F47">
        <f t="shared" si="0"/>
        <v>1.6843891528093657</v>
      </c>
    </row>
    <row r="48" spans="1:6">
      <c r="A48" s="7">
        <v>47</v>
      </c>
      <c r="B48" s="17">
        <v>70.809284059999996</v>
      </c>
      <c r="C48" s="11"/>
      <c r="D48" s="11">
        <v>68.658558740000004</v>
      </c>
      <c r="E48" s="11">
        <f t="shared" si="1"/>
        <v>-1.2978401877000749</v>
      </c>
      <c r="F48">
        <f t="shared" si="0"/>
        <v>0.72741304889824754</v>
      </c>
    </row>
    <row r="49" spans="1:6">
      <c r="A49" s="7">
        <v>48</v>
      </c>
      <c r="B49" s="17">
        <v>70.81571581</v>
      </c>
      <c r="C49" s="11"/>
      <c r="D49" s="11">
        <v>70.809284059999996</v>
      </c>
      <c r="E49" s="11">
        <f t="shared" si="1"/>
        <v>0.85288513229991736</v>
      </c>
      <c r="F49">
        <f t="shared" si="0"/>
        <v>0.73842550420565756</v>
      </c>
    </row>
    <row r="50" spans="1:6">
      <c r="A50" s="7">
        <v>49</v>
      </c>
      <c r="B50" s="17">
        <v>69.645986710000003</v>
      </c>
      <c r="C50" s="11"/>
      <c r="D50" s="11">
        <v>70.81571581</v>
      </c>
      <c r="E50" s="11">
        <f t="shared" si="1"/>
        <v>0.85931688229992176</v>
      </c>
      <c r="F50">
        <f t="shared" si="0"/>
        <v>9.6355744897479431E-2</v>
      </c>
    </row>
    <row r="51" spans="1:6">
      <c r="A51" s="7">
        <v>50</v>
      </c>
      <c r="B51" s="17">
        <v>71.095120460000004</v>
      </c>
      <c r="C51" s="11"/>
      <c r="D51" s="11">
        <v>69.645986710000003</v>
      </c>
      <c r="E51" s="11">
        <f t="shared" si="1"/>
        <v>-0.3104122177000761</v>
      </c>
      <c r="F51">
        <f t="shared" si="0"/>
        <v>1.29668672812349</v>
      </c>
    </row>
    <row r="52" spans="1:6">
      <c r="A52" s="7">
        <v>51</v>
      </c>
      <c r="B52" s="17">
        <v>71.050180749999996</v>
      </c>
      <c r="C52" s="11"/>
      <c r="D52" s="11">
        <v>71.095120460000004</v>
      </c>
      <c r="E52" s="11">
        <f t="shared" si="1"/>
        <v>1.1387215322999253</v>
      </c>
      <c r="F52">
        <f t="shared" si="0"/>
        <v>1.1963586747937272</v>
      </c>
    </row>
    <row r="53" spans="1:6">
      <c r="A53" s="7">
        <v>52</v>
      </c>
      <c r="B53" s="17">
        <v>67.980978039999997</v>
      </c>
      <c r="C53" s="11"/>
      <c r="D53" s="11">
        <v>71.050180749999996</v>
      </c>
      <c r="E53" s="11">
        <f t="shared" si="1"/>
        <v>1.0937818222999169</v>
      </c>
      <c r="F53">
        <f t="shared" si="0"/>
        <v>3.9022876835617804</v>
      </c>
    </row>
    <row r="54" spans="1:6">
      <c r="A54" s="7">
        <v>53</v>
      </c>
      <c r="B54" s="17">
        <v>68.790693219999994</v>
      </c>
      <c r="C54" s="11"/>
      <c r="D54" s="11">
        <v>67.980978039999997</v>
      </c>
      <c r="E54" s="11">
        <f t="shared" si="1"/>
        <v>-1.9754208877000821</v>
      </c>
      <c r="F54">
        <f t="shared" si="0"/>
        <v>1.3588697969645545</v>
      </c>
    </row>
    <row r="55" spans="1:6">
      <c r="A55" s="7">
        <v>54</v>
      </c>
      <c r="B55" s="17">
        <v>70.400163140000004</v>
      </c>
      <c r="C55" s="11"/>
      <c r="D55" s="11">
        <v>68.790693219999994</v>
      </c>
      <c r="E55" s="11">
        <f t="shared" si="1"/>
        <v>-1.1657057077000843</v>
      </c>
      <c r="F55">
        <f t="shared" si="0"/>
        <v>0.19692667611817294</v>
      </c>
    </row>
    <row r="56" spans="1:6">
      <c r="A56" s="7">
        <v>55</v>
      </c>
      <c r="B56" s="17">
        <v>70.828498569999994</v>
      </c>
      <c r="C56" s="11"/>
      <c r="D56" s="11">
        <v>70.400163140000004</v>
      </c>
      <c r="E56" s="11">
        <f t="shared" si="1"/>
        <v>0.44376421229992502</v>
      </c>
      <c r="F56">
        <f t="shared" si="0"/>
        <v>0.76055778609963964</v>
      </c>
    </row>
    <row r="57" spans="1:6">
      <c r="A57" s="7">
        <v>56</v>
      </c>
      <c r="B57" s="17">
        <v>70.826762299999999</v>
      </c>
      <c r="C57" s="11"/>
      <c r="D57" s="11">
        <v>70.828498569999994</v>
      </c>
      <c r="E57" s="11">
        <f t="shared" si="1"/>
        <v>0.87209964229991499</v>
      </c>
      <c r="F57">
        <f t="shared" si="0"/>
        <v>0.75753239984128917</v>
      </c>
    </row>
    <row r="58" spans="1:6">
      <c r="A58" s="7">
        <v>57</v>
      </c>
      <c r="B58" s="17">
        <v>70.180232200000006</v>
      </c>
      <c r="C58" s="11"/>
      <c r="D58" s="11">
        <v>70.826762299999999</v>
      </c>
      <c r="E58" s="11">
        <f t="shared" si="1"/>
        <v>0.87036337229992</v>
      </c>
      <c r="F58">
        <f t="shared" si="0"/>
        <v>5.0101333788493463E-2</v>
      </c>
    </row>
    <row r="59" spans="1:6">
      <c r="A59" s="7">
        <v>58</v>
      </c>
      <c r="B59" s="17">
        <v>68.541714760000005</v>
      </c>
      <c r="C59" s="11"/>
      <c r="D59" s="11">
        <v>70.180232200000006</v>
      </c>
      <c r="E59" s="11">
        <f t="shared" si="1"/>
        <v>0.22383327229992744</v>
      </c>
      <c r="F59">
        <f t="shared" si="0"/>
        <v>2.00133129434125</v>
      </c>
    </row>
    <row r="60" spans="1:6">
      <c r="A60" s="7">
        <v>59</v>
      </c>
      <c r="B60" s="17">
        <v>68.700255189999993</v>
      </c>
      <c r="C60" s="11"/>
      <c r="D60" s="11">
        <v>68.541714760000005</v>
      </c>
      <c r="E60" s="11">
        <f t="shared" si="1"/>
        <v>-1.4146841677000737</v>
      </c>
      <c r="F60">
        <f t="shared" si="0"/>
        <v>1.5778970897631417</v>
      </c>
    </row>
    <row r="61" spans="1:6">
      <c r="A61" s="7">
        <v>60</v>
      </c>
      <c r="B61" s="17">
        <v>68.71202289</v>
      </c>
      <c r="C61" s="11"/>
      <c r="D61" s="11">
        <v>68.700255189999993</v>
      </c>
      <c r="E61" s="11">
        <f t="shared" si="1"/>
        <v>-1.2561437377000857</v>
      </c>
      <c r="F61">
        <f t="shared" si="0"/>
        <v>1.5484717232021472</v>
      </c>
    </row>
    <row r="62" spans="1:6">
      <c r="A62" s="7">
        <v>61</v>
      </c>
      <c r="B62" s="17">
        <v>68.684396269999993</v>
      </c>
      <c r="C62" s="11"/>
      <c r="D62" s="11">
        <v>68.71202289</v>
      </c>
      <c r="E62" s="11">
        <f t="shared" si="1"/>
        <v>-1.2443760377000785</v>
      </c>
      <c r="F62">
        <f t="shared" si="0"/>
        <v>1.61799076119608</v>
      </c>
    </row>
    <row r="63" spans="1:6">
      <c r="A63" s="7">
        <v>62</v>
      </c>
      <c r="B63" s="17">
        <v>68.333962540000002</v>
      </c>
      <c r="C63" s="11"/>
      <c r="D63" s="11">
        <v>68.684396269999993</v>
      </c>
      <c r="E63" s="11">
        <f t="shared" si="1"/>
        <v>-1.2720026577000851</v>
      </c>
      <c r="F63">
        <f t="shared" si="0"/>
        <v>2.6322998321332745</v>
      </c>
    </row>
    <row r="64" spans="1:6">
      <c r="A64" s="7">
        <v>63</v>
      </c>
      <c r="B64" s="17">
        <v>69.847547739999996</v>
      </c>
      <c r="C64" s="11"/>
      <c r="D64" s="11">
        <v>68.333962540000002</v>
      </c>
      <c r="E64" s="11">
        <f t="shared" si="1"/>
        <v>-1.6224363877000769</v>
      </c>
      <c r="F64">
        <f t="shared" si="0"/>
        <v>1.1848581063718618E-2</v>
      </c>
    </row>
    <row r="65" spans="1:6">
      <c r="A65" s="7">
        <v>64</v>
      </c>
      <c r="B65" s="17">
        <v>70.506236029999997</v>
      </c>
      <c r="C65" s="11"/>
      <c r="D65" s="11">
        <v>69.847547739999996</v>
      </c>
      <c r="E65" s="11">
        <f t="shared" si="1"/>
        <v>-0.10885118770008262</v>
      </c>
      <c r="F65">
        <f t="shared" si="0"/>
        <v>0.3023208390655705</v>
      </c>
    </row>
    <row r="66" spans="1:6">
      <c r="A66" s="7">
        <v>65</v>
      </c>
      <c r="B66" s="17">
        <v>69.901311930000006</v>
      </c>
      <c r="C66" s="11"/>
      <c r="D66" s="11">
        <v>70.506236029999997</v>
      </c>
      <c r="E66" s="11">
        <f t="shared" si="1"/>
        <v>0.549837102299918</v>
      </c>
      <c r="F66">
        <f t="shared" ref="F66:F129" si="2">(B66-$C$2)^2</f>
        <v>3.0345773156078447E-3</v>
      </c>
    </row>
    <row r="67" spans="1:6">
      <c r="A67" s="7">
        <v>66</v>
      </c>
      <c r="B67" s="17">
        <v>69.139578420000007</v>
      </c>
      <c r="C67" s="11"/>
      <c r="D67" s="11">
        <v>69.901311930000006</v>
      </c>
      <c r="E67" s="11">
        <f t="shared" ref="E67:E130" si="3">D67-$C$2</f>
        <v>-5.508699770007297E-2</v>
      </c>
      <c r="F67">
        <f t="shared" si="2"/>
        <v>0.66719574179940355</v>
      </c>
    </row>
    <row r="68" spans="1:6">
      <c r="A68" s="7">
        <v>67</v>
      </c>
      <c r="B68" s="17">
        <v>69.489930369999996</v>
      </c>
      <c r="C68" s="11"/>
      <c r="D68" s="11">
        <v>69.139578420000007</v>
      </c>
      <c r="E68" s="11">
        <f t="shared" si="3"/>
        <v>-0.81682050770007208</v>
      </c>
      <c r="F68">
        <f t="shared" si="2"/>
        <v>0.21759291532279515</v>
      </c>
    </row>
    <row r="69" spans="1:6">
      <c r="A69" s="7">
        <v>68</v>
      </c>
      <c r="B69" s="17">
        <v>71.031279420000004</v>
      </c>
      <c r="C69" s="11"/>
      <c r="D69" s="11">
        <v>69.489930369999996</v>
      </c>
      <c r="E69" s="11">
        <f t="shared" si="3"/>
        <v>-0.46646855770008244</v>
      </c>
      <c r="F69">
        <f t="shared" si="2"/>
        <v>1.1553680727269302</v>
      </c>
    </row>
    <row r="70" spans="1:6">
      <c r="A70" s="7">
        <v>69</v>
      </c>
      <c r="B70" s="17">
        <v>68.767572830000006</v>
      </c>
      <c r="C70" s="11"/>
      <c r="D70" s="11">
        <v>71.031279420000004</v>
      </c>
      <c r="E70" s="11">
        <f t="shared" si="3"/>
        <v>1.0748804922999255</v>
      </c>
      <c r="F70">
        <f t="shared" si="2"/>
        <v>1.4133074905727827</v>
      </c>
    </row>
    <row r="71" spans="1:6">
      <c r="A71" s="7">
        <v>70</v>
      </c>
      <c r="B71" s="17">
        <v>69.328036389999994</v>
      </c>
      <c r="C71" s="11"/>
      <c r="D71" s="11">
        <v>68.767572830000006</v>
      </c>
      <c r="E71" s="11">
        <f t="shared" si="3"/>
        <v>-1.1888260977000726</v>
      </c>
      <c r="F71">
        <f t="shared" si="2"/>
        <v>0.39483947878489017</v>
      </c>
    </row>
    <row r="72" spans="1:6">
      <c r="A72" s="7">
        <v>71</v>
      </c>
      <c r="B72" s="17">
        <v>69.420838009999997</v>
      </c>
      <c r="C72" s="11"/>
      <c r="D72" s="11">
        <v>69.328036389999994</v>
      </c>
      <c r="E72" s="11">
        <f t="shared" si="3"/>
        <v>-0.62836253770008454</v>
      </c>
      <c r="F72">
        <f t="shared" si="2"/>
        <v>0.28682549656775347</v>
      </c>
    </row>
    <row r="73" spans="1:6">
      <c r="A73" s="7">
        <v>72</v>
      </c>
      <c r="B73" s="17">
        <v>67.969506050000007</v>
      </c>
      <c r="C73" s="11"/>
      <c r="D73" s="11">
        <v>69.420838009999997</v>
      </c>
      <c r="E73" s="11">
        <f t="shared" si="3"/>
        <v>-0.53556091770008152</v>
      </c>
      <c r="F73">
        <f t="shared" si="2"/>
        <v>3.9477433074552728</v>
      </c>
    </row>
    <row r="74" spans="1:6">
      <c r="A74" s="7">
        <v>73</v>
      </c>
      <c r="B74" s="17">
        <v>67.009749139999997</v>
      </c>
      <c r="C74" s="11"/>
      <c r="D74" s="11">
        <v>67.969506050000007</v>
      </c>
      <c r="E74" s="11">
        <f t="shared" si="3"/>
        <v>-1.9868928777000718</v>
      </c>
      <c r="F74">
        <f t="shared" si="2"/>
        <v>8.6827449713529372</v>
      </c>
    </row>
    <row r="75" spans="1:6">
      <c r="A75" s="7">
        <v>74</v>
      </c>
      <c r="B75" s="17">
        <v>67.902214180000001</v>
      </c>
      <c r="C75" s="11"/>
      <c r="D75" s="11">
        <v>67.009749139999997</v>
      </c>
      <c r="E75" s="11">
        <f t="shared" si="3"/>
        <v>-2.9466497877000819</v>
      </c>
      <c r="F75">
        <f t="shared" si="2"/>
        <v>4.2196749776836295</v>
      </c>
    </row>
    <row r="76" spans="1:6">
      <c r="A76" s="7">
        <v>75</v>
      </c>
      <c r="B76" s="17">
        <v>69.857913319999994</v>
      </c>
      <c r="C76" s="11"/>
      <c r="D76" s="11">
        <v>67.902214180000001</v>
      </c>
      <c r="E76" s="11">
        <f t="shared" si="3"/>
        <v>-2.0541847477000772</v>
      </c>
      <c r="F76">
        <f t="shared" si="2"/>
        <v>9.6994149240548812E-3</v>
      </c>
    </row>
    <row r="77" spans="1:6">
      <c r="A77" s="7">
        <v>76</v>
      </c>
      <c r="B77" s="17">
        <v>70.937146670000004</v>
      </c>
      <c r="C77" s="11"/>
      <c r="D77" s="11">
        <v>69.857913319999994</v>
      </c>
      <c r="E77" s="11">
        <f t="shared" si="3"/>
        <v>-9.8485607700084188E-2</v>
      </c>
      <c r="F77">
        <f t="shared" si="2"/>
        <v>0.9618661340264012</v>
      </c>
    </row>
    <row r="78" spans="1:6">
      <c r="A78" s="7">
        <v>77</v>
      </c>
      <c r="B78" s="17">
        <v>69.665932440000006</v>
      </c>
      <c r="C78" s="11"/>
      <c r="D78" s="11">
        <v>70.937146670000004</v>
      </c>
      <c r="E78" s="11">
        <f t="shared" si="3"/>
        <v>0.98074774229992556</v>
      </c>
      <c r="F78">
        <f t="shared" si="2"/>
        <v>8.4370780476816468E-2</v>
      </c>
    </row>
    <row r="79" spans="1:6">
      <c r="A79" s="7">
        <v>78</v>
      </c>
      <c r="B79" s="17">
        <v>70.535436450000006</v>
      </c>
      <c r="C79" s="11"/>
      <c r="D79" s="11">
        <v>69.665932440000006</v>
      </c>
      <c r="E79" s="11">
        <f t="shared" si="3"/>
        <v>-0.29046648770007266</v>
      </c>
      <c r="F79">
        <f t="shared" si="2"/>
        <v>0.33528445223123882</v>
      </c>
    </row>
    <row r="80" spans="1:6">
      <c r="A80" s="7">
        <v>79</v>
      </c>
      <c r="B80" s="17">
        <v>71.844465639999996</v>
      </c>
      <c r="C80" s="11"/>
      <c r="D80" s="11">
        <v>70.535436450000006</v>
      </c>
      <c r="E80" s="11">
        <f t="shared" si="3"/>
        <v>0.57903752229992733</v>
      </c>
      <c r="F80">
        <f t="shared" si="2"/>
        <v>3.5647959100950177</v>
      </c>
    </row>
    <row r="81" spans="1:6">
      <c r="A81" s="7">
        <v>80</v>
      </c>
      <c r="B81" s="17">
        <v>71.342135029999994</v>
      </c>
      <c r="C81" s="11"/>
      <c r="D81" s="11">
        <v>71.844465639999996</v>
      </c>
      <c r="E81" s="11">
        <f t="shared" si="3"/>
        <v>1.8880667122999171</v>
      </c>
      <c r="F81">
        <f t="shared" si="2"/>
        <v>1.9202645452173626</v>
      </c>
    </row>
    <row r="82" spans="1:6">
      <c r="A82" s="7">
        <v>81</v>
      </c>
      <c r="B82" s="17">
        <v>69.66053866</v>
      </c>
      <c r="C82" s="11"/>
      <c r="D82" s="11">
        <v>71.342135029999994</v>
      </c>
      <c r="E82" s="11">
        <f t="shared" si="3"/>
        <v>1.3857361022999157</v>
      </c>
      <c r="F82">
        <f t="shared" si="2"/>
        <v>8.7533298003562021E-2</v>
      </c>
    </row>
    <row r="83" spans="1:6">
      <c r="A83" s="7">
        <v>82</v>
      </c>
      <c r="B83" s="17">
        <v>70.518101869999995</v>
      </c>
      <c r="C83" s="11"/>
      <c r="D83" s="11">
        <v>69.66053866</v>
      </c>
      <c r="E83" s="11">
        <f t="shared" si="3"/>
        <v>-0.29586026770007834</v>
      </c>
      <c r="F83">
        <f t="shared" si="2"/>
        <v>0.31551019538838354</v>
      </c>
    </row>
    <row r="84" spans="1:6">
      <c r="A84" s="7">
        <v>83</v>
      </c>
      <c r="B84" s="17">
        <v>71.168095219999998</v>
      </c>
      <c r="C84" s="11"/>
      <c r="D84" s="11">
        <v>70.518101869999995</v>
      </c>
      <c r="E84" s="11">
        <f t="shared" si="3"/>
        <v>0.56170294229991669</v>
      </c>
      <c r="F84">
        <f t="shared" si="2"/>
        <v>1.4682079047733714</v>
      </c>
    </row>
    <row r="85" spans="1:6">
      <c r="A85" s="7">
        <v>84</v>
      </c>
      <c r="B85" s="17">
        <v>71.412833980000002</v>
      </c>
      <c r="C85" s="11"/>
      <c r="D85" s="11">
        <v>71.168095219999998</v>
      </c>
      <c r="E85" s="11">
        <f t="shared" si="3"/>
        <v>1.2116962922999193</v>
      </c>
      <c r="F85">
        <f t="shared" si="2"/>
        <v>2.1212030615678805</v>
      </c>
    </row>
    <row r="86" spans="1:6">
      <c r="A86" s="7">
        <v>85</v>
      </c>
      <c r="B86" s="17">
        <v>69.840808150000001</v>
      </c>
      <c r="C86" s="11"/>
      <c r="D86" s="11">
        <v>71.412833980000002</v>
      </c>
      <c r="E86" s="11">
        <f t="shared" si="3"/>
        <v>1.4564350522999234</v>
      </c>
      <c r="F86">
        <f t="shared" si="2"/>
        <v>1.3361227889308791E-2</v>
      </c>
    </row>
    <row r="87" spans="1:6">
      <c r="A87" s="7">
        <v>86</v>
      </c>
      <c r="B87" s="17">
        <v>66.646080190000006</v>
      </c>
      <c r="C87" s="11"/>
      <c r="D87" s="11">
        <v>69.840808150000001</v>
      </c>
      <c r="E87" s="11">
        <f t="shared" si="3"/>
        <v>-0.11559077770007775</v>
      </c>
      <c r="F87">
        <f t="shared" si="2"/>
        <v>10.9582101451682</v>
      </c>
    </row>
    <row r="88" spans="1:6">
      <c r="A88" s="7">
        <v>87</v>
      </c>
      <c r="B88" s="17">
        <v>70.152196689999997</v>
      </c>
      <c r="C88" s="11"/>
      <c r="D88" s="11">
        <v>66.646080190000006</v>
      </c>
      <c r="E88" s="11">
        <f t="shared" si="3"/>
        <v>-3.3103187377000722</v>
      </c>
      <c r="F88">
        <f t="shared" si="2"/>
        <v>3.8336763721655218E-2</v>
      </c>
    </row>
    <row r="89" spans="1:6">
      <c r="A89" s="7">
        <v>88</v>
      </c>
      <c r="B89" s="17">
        <v>69.486615549999996</v>
      </c>
      <c r="C89" s="11"/>
      <c r="D89" s="11">
        <v>70.152196689999997</v>
      </c>
      <c r="E89" s="11">
        <f t="shared" si="3"/>
        <v>0.19579776229991808</v>
      </c>
      <c r="F89">
        <f t="shared" si="2"/>
        <v>0.22069642196329825</v>
      </c>
    </row>
    <row r="90" spans="1:6">
      <c r="A90" s="7">
        <v>89</v>
      </c>
      <c r="B90" s="17">
        <v>69.610542249999995</v>
      </c>
      <c r="C90" s="11"/>
      <c r="D90" s="11">
        <v>69.486615549999996</v>
      </c>
      <c r="E90" s="11">
        <f t="shared" si="3"/>
        <v>-0.46978337770008238</v>
      </c>
      <c r="F90">
        <f t="shared" si="2"/>
        <v>0.11961684150973978</v>
      </c>
    </row>
    <row r="91" spans="1:6">
      <c r="A91" s="7">
        <v>90</v>
      </c>
      <c r="B91" s="17">
        <v>72.301086040000001</v>
      </c>
      <c r="C91" s="11"/>
      <c r="D91" s="11">
        <v>69.610542249999995</v>
      </c>
      <c r="E91" s="11">
        <f t="shared" si="3"/>
        <v>-0.34585667770008399</v>
      </c>
      <c r="F91">
        <f t="shared" si="2"/>
        <v>5.49755765458535</v>
      </c>
    </row>
    <row r="92" spans="1:6">
      <c r="A92" s="7">
        <v>91</v>
      </c>
      <c r="B92" s="17">
        <v>71.828065699999996</v>
      </c>
      <c r="C92" s="11"/>
      <c r="D92" s="11">
        <v>72.301086040000001</v>
      </c>
      <c r="E92" s="11">
        <f t="shared" si="3"/>
        <v>2.3446871122999227</v>
      </c>
      <c r="F92">
        <f t="shared" si="2"/>
        <v>3.5031365065315918</v>
      </c>
    </row>
    <row r="93" spans="1:6">
      <c r="A93" s="7">
        <v>92</v>
      </c>
      <c r="B93" s="17">
        <v>71.355760079999996</v>
      </c>
      <c r="C93" s="11"/>
      <c r="D93" s="11">
        <v>71.828065699999996</v>
      </c>
      <c r="E93" s="11">
        <f t="shared" si="3"/>
        <v>1.8716667722999176</v>
      </c>
      <c r="F93">
        <f t="shared" si="2"/>
        <v>1.9582116345661527</v>
      </c>
    </row>
    <row r="94" spans="1:6">
      <c r="A94" s="7">
        <v>93</v>
      </c>
      <c r="B94" s="17">
        <v>68.762639770000007</v>
      </c>
      <c r="C94" s="11"/>
      <c r="D94" s="11">
        <v>71.355760079999996</v>
      </c>
      <c r="E94" s="11">
        <f t="shared" si="3"/>
        <v>1.3993611522999174</v>
      </c>
      <c r="F94">
        <f t="shared" si="2"/>
        <v>1.4250609265927847</v>
      </c>
    </row>
    <row r="95" spans="1:6">
      <c r="A95" s="7">
        <v>94</v>
      </c>
      <c r="B95" s="17">
        <v>67.073188880000004</v>
      </c>
      <c r="C95" s="11"/>
      <c r="D95" s="11">
        <v>68.762639770000007</v>
      </c>
      <c r="E95" s="11">
        <f t="shared" si="3"/>
        <v>-1.1937591577000717</v>
      </c>
      <c r="F95">
        <f t="shared" si="2"/>
        <v>8.3129001791586692</v>
      </c>
    </row>
    <row r="96" spans="1:6">
      <c r="A96" s="7">
        <v>95</v>
      </c>
      <c r="B96" s="17">
        <v>68.082418610000005</v>
      </c>
      <c r="C96" s="11"/>
      <c r="D96" s="11">
        <v>67.073188880000004</v>
      </c>
      <c r="E96" s="11">
        <f t="shared" si="3"/>
        <v>-2.8832100477000751</v>
      </c>
      <c r="F96">
        <f t="shared" si="2"/>
        <v>3.5118022311272696</v>
      </c>
    </row>
    <row r="97" spans="1:6">
      <c r="A97" s="7">
        <v>96</v>
      </c>
      <c r="B97" s="17">
        <v>70.818244230000005</v>
      </c>
      <c r="C97" s="11"/>
      <c r="D97" s="11">
        <v>68.082418610000005</v>
      </c>
      <c r="E97" s="11">
        <f t="shared" si="3"/>
        <v>-1.8739803177000738</v>
      </c>
      <c r="F97">
        <f t="shared" si="2"/>
        <v>0.74277732509645111</v>
      </c>
    </row>
    <row r="98" spans="1:6">
      <c r="A98" s="7">
        <v>97</v>
      </c>
      <c r="B98" s="17">
        <v>70.719971509999993</v>
      </c>
      <c r="C98" s="11"/>
      <c r="D98" s="11">
        <v>70.818244230000005</v>
      </c>
      <c r="E98" s="11">
        <f t="shared" si="3"/>
        <v>0.86184530229992617</v>
      </c>
      <c r="F98">
        <f t="shared" si="2"/>
        <v>0.58304308844016028</v>
      </c>
    </row>
    <row r="99" spans="1:6">
      <c r="A99" s="7">
        <v>98</v>
      </c>
      <c r="B99" s="17">
        <v>69.391873320000002</v>
      </c>
      <c r="C99" s="11"/>
      <c r="D99" s="11">
        <v>70.719971509999993</v>
      </c>
      <c r="E99" s="11">
        <f t="shared" si="3"/>
        <v>0.76357258229991487</v>
      </c>
      <c r="F99">
        <f t="shared" si="2"/>
        <v>0.31868916174914086</v>
      </c>
    </row>
    <row r="100" spans="1:6">
      <c r="A100" s="7">
        <v>99</v>
      </c>
      <c r="B100" s="17">
        <v>69.617099830000001</v>
      </c>
      <c r="C100" s="11"/>
      <c r="D100" s="11">
        <v>69.391873320000002</v>
      </c>
      <c r="E100" s="11">
        <f t="shared" si="3"/>
        <v>-0.56452560770007665</v>
      </c>
      <c r="F100">
        <f t="shared" si="2"/>
        <v>0.11512387770008696</v>
      </c>
    </row>
    <row r="101" spans="1:6">
      <c r="A101" s="7">
        <v>100</v>
      </c>
      <c r="B101" s="17">
        <v>71.034633119999995</v>
      </c>
      <c r="C101" s="11"/>
      <c r="D101" s="11">
        <v>69.617099830000001</v>
      </c>
      <c r="E101" s="11">
        <f t="shared" si="3"/>
        <v>-0.33929909770007782</v>
      </c>
      <c r="F101">
        <f t="shared" si="2"/>
        <v>1.1625889734446535</v>
      </c>
    </row>
    <row r="102" spans="1:6">
      <c r="A102" s="7">
        <v>101</v>
      </c>
      <c r="B102" s="17">
        <v>69.290709719999995</v>
      </c>
      <c r="C102" s="11"/>
      <c r="D102" s="11">
        <v>71.034633119999995</v>
      </c>
      <c r="E102" s="11">
        <f t="shared" si="3"/>
        <v>1.0782341922999166</v>
      </c>
      <c r="F102">
        <f t="shared" si="2"/>
        <v>0.44314212124836466</v>
      </c>
    </row>
    <row r="103" spans="1:6">
      <c r="A103" s="7">
        <v>102</v>
      </c>
      <c r="B103" s="17">
        <v>68.053492899999995</v>
      </c>
      <c r="C103" s="11"/>
      <c r="D103" s="11">
        <v>69.290709719999995</v>
      </c>
      <c r="E103" s="11">
        <f t="shared" si="3"/>
        <v>-0.66568920770008333</v>
      </c>
      <c r="F103">
        <f t="shared" si="2"/>
        <v>3.6210513502573121</v>
      </c>
    </row>
    <row r="104" spans="1:6">
      <c r="A104" s="7">
        <v>103</v>
      </c>
      <c r="B104" s="17">
        <v>68.25621357</v>
      </c>
      <c r="C104" s="11"/>
      <c r="D104" s="11">
        <v>68.053492899999995</v>
      </c>
      <c r="E104" s="11">
        <f t="shared" si="3"/>
        <v>-1.9029060277000838</v>
      </c>
      <c r="F104">
        <f t="shared" si="2"/>
        <v>2.8906302505377446</v>
      </c>
    </row>
    <row r="105" spans="1:6">
      <c r="A105" s="7">
        <v>104</v>
      </c>
      <c r="B105" s="17">
        <v>70.632318650000002</v>
      </c>
      <c r="C105" s="11"/>
      <c r="D105" s="11">
        <v>68.25621357</v>
      </c>
      <c r="E105" s="11">
        <f t="shared" si="3"/>
        <v>-1.7001853577000787</v>
      </c>
      <c r="F105">
        <f t="shared" si="2"/>
        <v>0.45686747099400554</v>
      </c>
    </row>
    <row r="106" spans="1:6">
      <c r="A106" s="7">
        <v>105</v>
      </c>
      <c r="B106" s="17">
        <v>71.137348639999999</v>
      </c>
      <c r="C106" s="11"/>
      <c r="D106" s="11">
        <v>70.632318650000002</v>
      </c>
      <c r="E106" s="11">
        <f t="shared" si="3"/>
        <v>0.67591972229992336</v>
      </c>
      <c r="F106">
        <f t="shared" si="2"/>
        <v>1.3946422229812647</v>
      </c>
    </row>
    <row r="107" spans="1:6">
      <c r="A107" s="7">
        <v>106</v>
      </c>
      <c r="B107" s="17">
        <v>72.624866999999995</v>
      </c>
      <c r="C107" s="11"/>
      <c r="D107" s="11">
        <v>71.137348639999999</v>
      </c>
      <c r="E107" s="11">
        <f t="shared" si="3"/>
        <v>1.1809497122999204</v>
      </c>
      <c r="F107">
        <f t="shared" si="2"/>
        <v>7.1207218528840306</v>
      </c>
    </row>
    <row r="108" spans="1:6">
      <c r="A108" s="7">
        <v>107</v>
      </c>
      <c r="B108" s="17">
        <v>72.170161329999999</v>
      </c>
      <c r="C108" s="11"/>
      <c r="D108" s="11">
        <v>72.624866999999995</v>
      </c>
      <c r="E108" s="11">
        <f t="shared" si="3"/>
        <v>2.6684680722999161</v>
      </c>
      <c r="F108">
        <f t="shared" si="2"/>
        <v>4.9007439738367147</v>
      </c>
    </row>
    <row r="109" spans="1:6">
      <c r="A109" s="7">
        <v>108</v>
      </c>
      <c r="B109" s="17">
        <v>70.479541519999998</v>
      </c>
      <c r="C109" s="11"/>
      <c r="D109" s="11">
        <v>72.170161329999999</v>
      </c>
      <c r="E109" s="11">
        <f t="shared" si="3"/>
        <v>2.2137624022999205</v>
      </c>
      <c r="F109">
        <f t="shared" si="2"/>
        <v>0.27367817187827964</v>
      </c>
    </row>
    <row r="110" spans="1:6">
      <c r="A110" s="7">
        <v>109</v>
      </c>
      <c r="B110" s="17">
        <v>70.901754350000004</v>
      </c>
      <c r="C110" s="11"/>
      <c r="D110" s="11">
        <v>70.479541519999998</v>
      </c>
      <c r="E110" s="11">
        <f t="shared" si="3"/>
        <v>0.52314259229991933</v>
      </c>
      <c r="F110">
        <f t="shared" si="2"/>
        <v>0.89369687447187118</v>
      </c>
    </row>
    <row r="111" spans="1:6">
      <c r="A111" s="7">
        <v>110</v>
      </c>
      <c r="B111" s="17">
        <v>70.608687169999996</v>
      </c>
      <c r="C111" s="11"/>
      <c r="D111" s="11">
        <v>70.901754350000004</v>
      </c>
      <c r="E111" s="11">
        <f t="shared" si="3"/>
        <v>0.94535542229992586</v>
      </c>
      <c r="F111">
        <f t="shared" si="2"/>
        <v>0.4254799510427158</v>
      </c>
    </row>
    <row r="112" spans="1:6">
      <c r="A112" s="7">
        <v>111</v>
      </c>
      <c r="B112" s="17">
        <v>69.389764639999996</v>
      </c>
      <c r="C112" s="11"/>
      <c r="D112" s="11">
        <v>70.608687169999996</v>
      </c>
      <c r="E112" s="11">
        <f t="shared" si="3"/>
        <v>0.65228824229991744</v>
      </c>
      <c r="F112">
        <f t="shared" si="2"/>
        <v>0.3210744159973804</v>
      </c>
    </row>
    <row r="113" spans="1:6">
      <c r="A113" s="7">
        <v>112</v>
      </c>
      <c r="B113" s="17">
        <v>70.131227480000007</v>
      </c>
      <c r="C113" s="11"/>
      <c r="D113" s="11">
        <v>69.389764639999996</v>
      </c>
      <c r="E113" s="11">
        <f t="shared" si="3"/>
        <v>-0.56663428770008295</v>
      </c>
      <c r="F113">
        <f t="shared" si="2"/>
        <v>3.0565022699288735E-2</v>
      </c>
    </row>
    <row r="114" spans="1:6">
      <c r="A114" s="7">
        <v>113</v>
      </c>
      <c r="B114" s="17">
        <v>69.565480440000002</v>
      </c>
      <c r="C114" s="11"/>
      <c r="D114" s="11">
        <v>70.131227480000007</v>
      </c>
      <c r="E114" s="11">
        <f t="shared" si="3"/>
        <v>0.17482855229992822</v>
      </c>
      <c r="F114">
        <f t="shared" si="2"/>
        <v>0.15281726402571516</v>
      </c>
    </row>
    <row r="115" spans="1:6">
      <c r="A115" s="7">
        <v>114</v>
      </c>
      <c r="B115" s="17">
        <v>69.409522920000001</v>
      </c>
      <c r="C115" s="11"/>
      <c r="D115" s="11">
        <v>69.565480440000002</v>
      </c>
      <c r="E115" s="11">
        <f t="shared" si="3"/>
        <v>-0.39091848770007687</v>
      </c>
      <c r="F115">
        <f t="shared" si="2"/>
        <v>0.29907336779797583</v>
      </c>
    </row>
    <row r="116" spans="1:6">
      <c r="A116" s="7">
        <v>115</v>
      </c>
      <c r="B116" s="17">
        <v>71.103852320000001</v>
      </c>
      <c r="C116" s="11"/>
      <c r="D116" s="11">
        <v>69.409522920000001</v>
      </c>
      <c r="E116" s="11">
        <f t="shared" si="3"/>
        <v>-0.54687600770007805</v>
      </c>
      <c r="F116">
        <f t="shared" si="2"/>
        <v>1.3166492875006006</v>
      </c>
    </row>
    <row r="117" spans="1:6">
      <c r="A117" s="7">
        <v>116</v>
      </c>
      <c r="B117" s="17">
        <v>70.738173029999999</v>
      </c>
      <c r="C117" s="11"/>
      <c r="D117" s="11">
        <v>71.103852320000001</v>
      </c>
      <c r="E117" s="11">
        <f t="shared" si="3"/>
        <v>1.1474533922999228</v>
      </c>
      <c r="F117">
        <f t="shared" si="2"/>
        <v>0.61117074702684593</v>
      </c>
    </row>
    <row r="118" spans="1:6">
      <c r="A118" s="7">
        <v>117</v>
      </c>
      <c r="B118" s="17">
        <v>69.308606729999994</v>
      </c>
      <c r="C118" s="11"/>
      <c r="D118" s="11">
        <v>70.738173029999999</v>
      </c>
      <c r="E118" s="11">
        <f t="shared" si="3"/>
        <v>0.78177410229992006</v>
      </c>
      <c r="F118">
        <f t="shared" si="2"/>
        <v>0.41963473140110558</v>
      </c>
    </row>
    <row r="119" spans="1:6">
      <c r="A119" s="7">
        <v>118</v>
      </c>
      <c r="B119" s="17">
        <v>68.899374440000003</v>
      </c>
      <c r="C119" s="11"/>
      <c r="D119" s="11">
        <v>69.308606729999994</v>
      </c>
      <c r="E119" s="11">
        <f t="shared" si="3"/>
        <v>-0.64779219770008467</v>
      </c>
      <c r="F119">
        <f t="shared" si="2"/>
        <v>1.1173007675976083</v>
      </c>
    </row>
    <row r="120" spans="1:6">
      <c r="A120" s="7">
        <v>119</v>
      </c>
      <c r="B120" s="17">
        <v>70.568833229999996</v>
      </c>
      <c r="C120" s="11"/>
      <c r="D120" s="11">
        <v>68.899374440000003</v>
      </c>
      <c r="E120" s="11">
        <f t="shared" si="3"/>
        <v>-1.0570244877000761</v>
      </c>
      <c r="F120">
        <f t="shared" si="2"/>
        <v>0.37507577463358616</v>
      </c>
    </row>
    <row r="121" spans="1:6">
      <c r="A121" s="7">
        <v>120</v>
      </c>
      <c r="B121" s="17">
        <v>70.118946930000007</v>
      </c>
      <c r="C121" s="11"/>
      <c r="D121" s="11">
        <v>70.568833229999996</v>
      </c>
      <c r="E121" s="11">
        <f t="shared" si="3"/>
        <v>0.61243430229991702</v>
      </c>
      <c r="F121">
        <f t="shared" si="2"/>
        <v>2.6421853051697523E-2</v>
      </c>
    </row>
    <row r="122" spans="1:6">
      <c r="A122" s="7">
        <v>121</v>
      </c>
      <c r="B122" s="17">
        <v>69.513847339999998</v>
      </c>
      <c r="C122" s="11"/>
      <c r="D122" s="11">
        <v>70.118946930000007</v>
      </c>
      <c r="E122" s="11">
        <f t="shared" si="3"/>
        <v>0.16254800229992838</v>
      </c>
      <c r="F122">
        <f t="shared" si="2"/>
        <v>0.19585190777586206</v>
      </c>
    </row>
    <row r="123" spans="1:6">
      <c r="A123" s="7">
        <v>122</v>
      </c>
      <c r="B123" s="17">
        <v>69.162331589999994</v>
      </c>
      <c r="C123" s="11"/>
      <c r="D123" s="11">
        <v>69.513847339999998</v>
      </c>
      <c r="E123" s="11">
        <f t="shared" si="3"/>
        <v>-0.44255158770008052</v>
      </c>
      <c r="F123">
        <f t="shared" si="2"/>
        <v>0.63054293680210061</v>
      </c>
    </row>
    <row r="124" spans="1:6">
      <c r="A124" s="7">
        <v>123</v>
      </c>
      <c r="B124" s="17">
        <v>69.827170240000001</v>
      </c>
      <c r="C124" s="11"/>
      <c r="D124" s="11">
        <v>69.162331589999994</v>
      </c>
      <c r="E124" s="11">
        <f t="shared" si="3"/>
        <v>-0.79406733770008486</v>
      </c>
      <c r="F124">
        <f t="shared" si="2"/>
        <v>1.6700053724684204E-2</v>
      </c>
    </row>
    <row r="125" spans="1:6">
      <c r="A125" s="7">
        <v>124</v>
      </c>
      <c r="B125" s="17">
        <v>69.762112909999999</v>
      </c>
      <c r="C125" s="11"/>
      <c r="D125" s="11">
        <v>69.827170240000001</v>
      </c>
      <c r="E125" s="11">
        <f t="shared" si="3"/>
        <v>-0.12922868770007767</v>
      </c>
      <c r="F125">
        <f t="shared" si="2"/>
        <v>3.7747056673755636E-2</v>
      </c>
    </row>
    <row r="126" spans="1:6">
      <c r="A126" s="7">
        <v>125</v>
      </c>
      <c r="B126" s="17">
        <v>68.30728062</v>
      </c>
      <c r="C126" s="11"/>
      <c r="D126" s="11">
        <v>69.762112909999999</v>
      </c>
      <c r="E126" s="11">
        <f t="shared" si="3"/>
        <v>-0.19428601770007958</v>
      </c>
      <c r="F126">
        <f t="shared" si="2"/>
        <v>2.7195911927915706</v>
      </c>
    </row>
    <row r="127" spans="1:6">
      <c r="A127" s="7">
        <v>126</v>
      </c>
      <c r="B127" s="17">
        <v>68.168553560000007</v>
      </c>
      <c r="C127" s="11"/>
      <c r="D127" s="11">
        <v>68.30728062</v>
      </c>
      <c r="E127" s="11">
        <f t="shared" si="3"/>
        <v>-1.6491183077000784</v>
      </c>
      <c r="F127">
        <f t="shared" si="2"/>
        <v>3.196391058806606</v>
      </c>
    </row>
    <row r="128" spans="1:6">
      <c r="A128" s="7">
        <v>127</v>
      </c>
      <c r="B128" s="17">
        <v>68.476158909999995</v>
      </c>
      <c r="C128" s="11"/>
      <c r="D128" s="11">
        <v>68.168553560000007</v>
      </c>
      <c r="E128" s="11">
        <f t="shared" si="3"/>
        <v>-1.7878453677000721</v>
      </c>
      <c r="F128">
        <f t="shared" si="2"/>
        <v>2.1911105100007431</v>
      </c>
    </row>
    <row r="129" spans="1:6">
      <c r="A129" s="7">
        <v>128</v>
      </c>
      <c r="B129" s="17">
        <v>70.878448660000004</v>
      </c>
      <c r="C129" s="11"/>
      <c r="D129" s="11">
        <v>68.476158909999995</v>
      </c>
      <c r="E129" s="11">
        <f t="shared" si="3"/>
        <v>-1.4802400177000834</v>
      </c>
      <c r="F129">
        <f t="shared" si="2"/>
        <v>0.85017570883436344</v>
      </c>
    </row>
    <row r="130" spans="1:6">
      <c r="A130" s="7">
        <v>129</v>
      </c>
      <c r="B130" s="17">
        <v>71.796895570000004</v>
      </c>
      <c r="C130" s="11"/>
      <c r="D130" s="11">
        <v>70.878448660000004</v>
      </c>
      <c r="E130" s="11">
        <f t="shared" si="3"/>
        <v>0.92204973229992504</v>
      </c>
      <c r="F130">
        <f t="shared" ref="F130:F193" si="4">(B130-$C$2)^2</f>
        <v>3.3874278903172987</v>
      </c>
    </row>
    <row r="131" spans="1:6">
      <c r="A131" s="7">
        <v>130</v>
      </c>
      <c r="B131" s="17">
        <v>71.401862120000004</v>
      </c>
      <c r="C131" s="11"/>
      <c r="D131" s="11">
        <v>71.796895570000004</v>
      </c>
      <c r="E131" s="11">
        <f t="shared" ref="E131:E194" si="5">D131-$C$2</f>
        <v>1.8404966422999252</v>
      </c>
      <c r="F131">
        <f t="shared" si="4"/>
        <v>2.0893638402938914</v>
      </c>
    </row>
    <row r="132" spans="1:6">
      <c r="A132" s="7">
        <v>131</v>
      </c>
      <c r="B132" s="17">
        <v>69.796690290000001</v>
      </c>
      <c r="C132" s="11"/>
      <c r="D132" s="11">
        <v>71.401862120000004</v>
      </c>
      <c r="E132" s="11">
        <f t="shared" si="5"/>
        <v>1.4454631922999255</v>
      </c>
      <c r="F132">
        <f t="shared" si="4"/>
        <v>2.5506848956014717E-2</v>
      </c>
    </row>
    <row r="133" spans="1:6">
      <c r="A133" s="7">
        <v>132</v>
      </c>
      <c r="B133" s="17">
        <v>68.641663989999998</v>
      </c>
      <c r="C133" s="11"/>
      <c r="D133" s="11">
        <v>69.796690290000001</v>
      </c>
      <c r="E133" s="11">
        <f t="shared" si="5"/>
        <v>-0.15970863770007782</v>
      </c>
      <c r="F133">
        <f t="shared" si="4"/>
        <v>1.7285279564092353</v>
      </c>
    </row>
    <row r="134" spans="1:6">
      <c r="A134" s="7">
        <v>133</v>
      </c>
      <c r="B134" s="17">
        <v>68.738473709999994</v>
      </c>
      <c r="C134" s="11"/>
      <c r="D134" s="11">
        <v>68.641663989999998</v>
      </c>
      <c r="E134" s="11">
        <f t="shared" si="5"/>
        <v>-1.3147349377000808</v>
      </c>
      <c r="F134">
        <f t="shared" si="4"/>
        <v>1.483341835909799</v>
      </c>
    </row>
    <row r="135" spans="1:6">
      <c r="A135" s="7">
        <v>134</v>
      </c>
      <c r="B135" s="17">
        <v>68.598704920000003</v>
      </c>
      <c r="C135" s="11"/>
      <c r="D135" s="11">
        <v>68.738473709999994</v>
      </c>
      <c r="E135" s="11">
        <f t="shared" si="5"/>
        <v>-1.2179252177000848</v>
      </c>
      <c r="F135">
        <f t="shared" si="4"/>
        <v>1.843333018544693</v>
      </c>
    </row>
    <row r="136" spans="1:6">
      <c r="A136" s="7">
        <v>135</v>
      </c>
      <c r="B136" s="17">
        <v>72.034881229999996</v>
      </c>
      <c r="C136" s="11"/>
      <c r="D136" s="11">
        <v>68.598704920000003</v>
      </c>
      <c r="E136" s="11">
        <f t="shared" si="5"/>
        <v>-1.3576940077000756</v>
      </c>
      <c r="F136">
        <f t="shared" si="4"/>
        <v>4.3200886809739663</v>
      </c>
    </row>
    <row r="137" spans="1:6">
      <c r="A137" s="7">
        <v>136</v>
      </c>
      <c r="B137" s="17">
        <v>69.39599561</v>
      </c>
      <c r="C137" s="11"/>
      <c r="D137" s="11">
        <v>72.034881229999996</v>
      </c>
      <c r="E137" s="11">
        <f t="shared" si="5"/>
        <v>2.0784823022999177</v>
      </c>
      <c r="F137">
        <f t="shared" si="4"/>
        <v>0.31405187848925531</v>
      </c>
    </row>
    <row r="138" spans="1:6">
      <c r="A138" s="7">
        <v>137</v>
      </c>
      <c r="B138" s="17">
        <v>69.591141530000002</v>
      </c>
      <c r="C138" s="11"/>
      <c r="D138" s="11">
        <v>69.39599561</v>
      </c>
      <c r="E138" s="11">
        <f t="shared" si="5"/>
        <v>-0.56040331770007867</v>
      </c>
      <c r="F138">
        <f t="shared" si="4"/>
        <v>0.13341296657463225</v>
      </c>
    </row>
    <row r="139" spans="1:6">
      <c r="A139" s="7">
        <v>138</v>
      </c>
      <c r="B139" s="17">
        <v>68.651333940000001</v>
      </c>
      <c r="C139" s="11"/>
      <c r="D139" s="11">
        <v>69.591141530000002</v>
      </c>
      <c r="E139" s="11">
        <f t="shared" si="5"/>
        <v>-0.36525739770007704</v>
      </c>
      <c r="F139">
        <f t="shared" si="4"/>
        <v>1.7031946221206047</v>
      </c>
    </row>
    <row r="140" spans="1:6">
      <c r="A140" s="7">
        <v>139</v>
      </c>
      <c r="B140" s="17">
        <v>69.209114409999998</v>
      </c>
      <c r="C140" s="11"/>
      <c r="D140" s="11">
        <v>68.651333940000001</v>
      </c>
      <c r="E140" s="11">
        <f t="shared" si="5"/>
        <v>-1.3050649877000779</v>
      </c>
      <c r="F140">
        <f t="shared" si="4"/>
        <v>0.55843415039424216</v>
      </c>
    </row>
    <row r="141" spans="1:6">
      <c r="A141" s="7">
        <v>140</v>
      </c>
      <c r="B141" s="17">
        <v>68.942066519999997</v>
      </c>
      <c r="C141" s="11"/>
      <c r="D141" s="11">
        <v>69.209114409999998</v>
      </c>
      <c r="E141" s="11">
        <f t="shared" si="5"/>
        <v>-0.74728451770008064</v>
      </c>
      <c r="F141">
        <f t="shared" si="4"/>
        <v>1.0288702333106439</v>
      </c>
    </row>
    <row r="142" spans="1:6">
      <c r="A142" s="7">
        <v>141</v>
      </c>
      <c r="B142" s="17">
        <v>68.42487663</v>
      </c>
      <c r="C142" s="11"/>
      <c r="D142" s="11">
        <v>68.942066519999997</v>
      </c>
      <c r="E142" s="11">
        <f t="shared" si="5"/>
        <v>-1.0143324077000813</v>
      </c>
      <c r="F142">
        <f t="shared" si="4"/>
        <v>2.3455605483525281</v>
      </c>
    </row>
    <row r="143" spans="1:6">
      <c r="A143" s="7">
        <v>142</v>
      </c>
      <c r="B143" s="17">
        <v>68.232109719999997</v>
      </c>
      <c r="C143" s="11"/>
      <c r="D143" s="11">
        <v>68.42487663</v>
      </c>
      <c r="E143" s="11">
        <f t="shared" si="5"/>
        <v>-1.5315222977000786</v>
      </c>
      <c r="F143">
        <f t="shared" si="4"/>
        <v>2.9731732717909756</v>
      </c>
    </row>
    <row r="144" spans="1:6">
      <c r="A144" s="7">
        <v>143</v>
      </c>
      <c r="B144" s="17">
        <v>71.166788999999994</v>
      </c>
      <c r="C144" s="11"/>
      <c r="D144" s="11">
        <v>68.232109719999997</v>
      </c>
      <c r="E144" s="11">
        <f t="shared" si="5"/>
        <v>-1.7242892077000818</v>
      </c>
      <c r="F144">
        <f t="shared" si="4"/>
        <v>1.4650441271221952</v>
      </c>
    </row>
    <row r="145" spans="1:6">
      <c r="A145" s="7">
        <v>144</v>
      </c>
      <c r="B145" s="17">
        <v>71.097452059999995</v>
      </c>
      <c r="C145" s="11"/>
      <c r="D145" s="11">
        <v>71.166788999999994</v>
      </c>
      <c r="E145" s="11">
        <f t="shared" si="5"/>
        <v>1.2103900722999157</v>
      </c>
      <c r="F145">
        <f t="shared" si="4"/>
        <v>1.3020022507314502</v>
      </c>
    </row>
    <row r="146" spans="1:6">
      <c r="A146" s="7">
        <v>145</v>
      </c>
      <c r="B146" s="17">
        <v>69.542732340000001</v>
      </c>
      <c r="C146" s="11"/>
      <c r="D146" s="11">
        <v>71.097452059999995</v>
      </c>
      <c r="E146" s="11">
        <f t="shared" si="5"/>
        <v>1.1410531322999162</v>
      </c>
      <c r="F146">
        <f t="shared" si="4"/>
        <v>0.17112004577942636</v>
      </c>
    </row>
    <row r="147" spans="1:6">
      <c r="A147" s="7">
        <v>146</v>
      </c>
      <c r="B147" s="17">
        <v>69.95219075</v>
      </c>
      <c r="C147" s="11"/>
      <c r="D147" s="11">
        <v>69.542732340000001</v>
      </c>
      <c r="E147" s="11">
        <f t="shared" si="5"/>
        <v>-0.41366658770007803</v>
      </c>
      <c r="F147">
        <f t="shared" si="4"/>
        <v>1.7708759555441032E-5</v>
      </c>
    </row>
    <row r="148" spans="1:6">
      <c r="A148" s="7">
        <v>147</v>
      </c>
      <c r="B148" s="17">
        <v>70.118844060000001</v>
      </c>
      <c r="C148" s="11"/>
      <c r="D148" s="11">
        <v>69.95219075</v>
      </c>
      <c r="E148" s="11">
        <f t="shared" si="5"/>
        <v>-4.2081777000788634E-3</v>
      </c>
      <c r="F148">
        <f t="shared" si="4"/>
        <v>2.6388421007939186E-2</v>
      </c>
    </row>
    <row r="149" spans="1:6">
      <c r="A149" s="7">
        <v>148</v>
      </c>
      <c r="B149" s="17">
        <v>70.805682970000007</v>
      </c>
      <c r="C149" s="11"/>
      <c r="D149" s="11">
        <v>70.118844060000001</v>
      </c>
      <c r="E149" s="11">
        <f t="shared" si="5"/>
        <v>0.16244513229992208</v>
      </c>
      <c r="F149">
        <f t="shared" si="4"/>
        <v>0.72128338450530582</v>
      </c>
    </row>
    <row r="150" spans="1:6">
      <c r="A150" s="7">
        <v>149</v>
      </c>
      <c r="B150" s="17">
        <v>68.623499910000007</v>
      </c>
      <c r="C150" s="11"/>
      <c r="D150" s="11">
        <v>70.805682970000007</v>
      </c>
      <c r="E150" s="11">
        <f t="shared" si="5"/>
        <v>0.84928404229992793</v>
      </c>
      <c r="F150">
        <f t="shared" si="4"/>
        <v>1.7766197913858166</v>
      </c>
    </row>
    <row r="151" spans="1:6">
      <c r="A151" s="7">
        <v>150</v>
      </c>
      <c r="B151" s="17">
        <v>69.235998960000003</v>
      </c>
      <c r="C151" s="11"/>
      <c r="D151" s="11">
        <v>68.623499910000007</v>
      </c>
      <c r="E151" s="11">
        <f t="shared" si="5"/>
        <v>-1.3328990177000719</v>
      </c>
      <c r="F151">
        <f t="shared" si="4"/>
        <v>0.51897611346226935</v>
      </c>
    </row>
    <row r="152" spans="1:6">
      <c r="A152" s="7">
        <v>151</v>
      </c>
      <c r="B152" s="17">
        <v>70.727244240000005</v>
      </c>
      <c r="C152" s="11"/>
      <c r="D152" s="11">
        <v>69.235998960000003</v>
      </c>
      <c r="E152" s="11">
        <f t="shared" si="5"/>
        <v>-0.72039996770007519</v>
      </c>
      <c r="F152">
        <f t="shared" si="4"/>
        <v>0.59420249549477033</v>
      </c>
    </row>
    <row r="153" spans="1:6">
      <c r="A153" s="7">
        <v>152</v>
      </c>
      <c r="B153" s="17">
        <v>69.003948570000006</v>
      </c>
      <c r="C153" s="11"/>
      <c r="D153" s="11">
        <v>70.727244240000005</v>
      </c>
      <c r="E153" s="11">
        <f t="shared" si="5"/>
        <v>0.77084531229992592</v>
      </c>
      <c r="F153">
        <f t="shared" si="4"/>
        <v>0.90716168388299689</v>
      </c>
    </row>
    <row r="154" spans="1:6">
      <c r="A154" s="7">
        <v>153</v>
      </c>
      <c r="B154" s="17">
        <v>69.632391150000004</v>
      </c>
      <c r="C154" s="11"/>
      <c r="D154" s="11">
        <v>69.003948570000006</v>
      </c>
      <c r="E154" s="11">
        <f t="shared" si="5"/>
        <v>-0.95245035770007291</v>
      </c>
      <c r="F154">
        <f t="shared" si="4"/>
        <v>0.10498104001014118</v>
      </c>
    </row>
    <row r="155" spans="1:6">
      <c r="A155" s="7">
        <v>154</v>
      </c>
      <c r="B155" s="17">
        <v>71.77443169</v>
      </c>
      <c r="C155" s="11"/>
      <c r="D155" s="11">
        <v>69.632391150000004</v>
      </c>
      <c r="E155" s="11">
        <f t="shared" si="5"/>
        <v>-0.32400777770007494</v>
      </c>
      <c r="F155">
        <f t="shared" si="4"/>
        <v>3.3052431247958829</v>
      </c>
    </row>
    <row r="156" spans="1:6">
      <c r="A156" s="7">
        <v>155</v>
      </c>
      <c r="B156" s="17">
        <v>71.160083970000002</v>
      </c>
      <c r="C156" s="11"/>
      <c r="D156" s="11">
        <v>71.77443169</v>
      </c>
      <c r="E156" s="11">
        <f t="shared" si="5"/>
        <v>1.8180327622999215</v>
      </c>
      <c r="F156">
        <f t="shared" si="4"/>
        <v>1.448857681056569</v>
      </c>
    </row>
    <row r="157" spans="1:6">
      <c r="A157" s="7">
        <v>156</v>
      </c>
      <c r="B157" s="17">
        <v>70.985126809999997</v>
      </c>
      <c r="C157" s="11"/>
      <c r="D157" s="11">
        <v>71.160083970000002</v>
      </c>
      <c r="E157" s="11">
        <f t="shared" si="5"/>
        <v>1.2036850422999237</v>
      </c>
      <c r="F157">
        <f t="shared" si="4"/>
        <v>1.0582810558212747</v>
      </c>
    </row>
    <row r="158" spans="1:6">
      <c r="A158" s="7">
        <v>157</v>
      </c>
      <c r="B158" s="17">
        <v>70.91362135</v>
      </c>
      <c r="C158" s="11"/>
      <c r="D158" s="11">
        <v>70.985126809999997</v>
      </c>
      <c r="E158" s="11">
        <f t="shared" si="5"/>
        <v>1.0287278822999184</v>
      </c>
      <c r="F158">
        <f t="shared" si="4"/>
        <v>0.91627476575372835</v>
      </c>
    </row>
    <row r="159" spans="1:6">
      <c r="A159" s="7">
        <v>158</v>
      </c>
      <c r="B159" s="17">
        <v>69.545129070000002</v>
      </c>
      <c r="C159" s="11"/>
      <c r="D159" s="11">
        <v>70.91362135</v>
      </c>
      <c r="E159" s="11">
        <f t="shared" si="5"/>
        <v>0.95722242229992105</v>
      </c>
      <c r="F159">
        <f t="shared" si="4"/>
        <v>0.16914289585264164</v>
      </c>
    </row>
    <row r="160" spans="1:6">
      <c r="A160" s="7">
        <v>159</v>
      </c>
      <c r="B160" s="17">
        <v>69.492757769999997</v>
      </c>
      <c r="C160" s="11"/>
      <c r="D160" s="11">
        <v>69.545129070000002</v>
      </c>
      <c r="E160" s="11">
        <f t="shared" si="5"/>
        <v>-0.41126985770007707</v>
      </c>
      <c r="F160">
        <f t="shared" si="4"/>
        <v>0.21496312311347177</v>
      </c>
    </row>
    <row r="161" spans="1:6">
      <c r="A161" s="7">
        <v>160</v>
      </c>
      <c r="B161" s="17">
        <v>68.265121230000005</v>
      </c>
      <c r="C161" s="11"/>
      <c r="D161" s="11">
        <v>69.492757769999997</v>
      </c>
      <c r="E161" s="11">
        <f t="shared" si="5"/>
        <v>-0.46364115770008141</v>
      </c>
      <c r="F161">
        <f t="shared" si="4"/>
        <v>2.8604202507376604</v>
      </c>
    </row>
    <row r="162" spans="1:6">
      <c r="A162" s="7">
        <v>161</v>
      </c>
      <c r="B162" s="17">
        <v>68.659942369999996</v>
      </c>
      <c r="C162" s="11"/>
      <c r="D162" s="11">
        <v>68.265121230000005</v>
      </c>
      <c r="E162" s="11">
        <f t="shared" si="5"/>
        <v>-1.6912776977000732</v>
      </c>
      <c r="F162">
        <f t="shared" si="4"/>
        <v>1.6807996060035477</v>
      </c>
    </row>
    <row r="163" spans="1:6">
      <c r="A163" s="7">
        <v>162</v>
      </c>
      <c r="B163" s="17">
        <v>69.982117029999998</v>
      </c>
      <c r="C163" s="11"/>
      <c r="D163" s="11">
        <v>68.659942369999996</v>
      </c>
      <c r="E163" s="11">
        <f t="shared" si="5"/>
        <v>-1.2964565577000826</v>
      </c>
      <c r="F163">
        <f t="shared" si="4"/>
        <v>6.6142078590910463E-4</v>
      </c>
    </row>
    <row r="164" spans="1:6">
      <c r="A164" s="7">
        <v>163</v>
      </c>
      <c r="B164" s="17">
        <v>71.114388000000005</v>
      </c>
      <c r="C164" s="11"/>
      <c r="D164" s="11">
        <v>69.982117029999998</v>
      </c>
      <c r="E164" s="11">
        <f t="shared" si="5"/>
        <v>2.571810229991911E-2</v>
      </c>
      <c r="F164">
        <f t="shared" si="4"/>
        <v>1.3409386915660448</v>
      </c>
    </row>
    <row r="165" spans="1:6">
      <c r="A165" s="7">
        <v>164</v>
      </c>
      <c r="B165" s="17">
        <v>70.698609820000001</v>
      </c>
      <c r="C165" s="11"/>
      <c r="D165" s="11">
        <v>71.114388000000005</v>
      </c>
      <c r="E165" s="11">
        <f t="shared" si="5"/>
        <v>1.1579890722999266</v>
      </c>
      <c r="F165">
        <f t="shared" si="4"/>
        <v>0.55087700864864775</v>
      </c>
    </row>
    <row r="166" spans="1:6">
      <c r="A166" s="7">
        <v>165</v>
      </c>
      <c r="B166" s="17">
        <v>70.804833220000006</v>
      </c>
      <c r="C166" s="11"/>
      <c r="D166" s="11">
        <v>70.698609820000001</v>
      </c>
      <c r="E166" s="11">
        <f t="shared" si="5"/>
        <v>0.74221089229992288</v>
      </c>
      <c r="F166">
        <f t="shared" si="4"/>
        <v>0.71984074835047884</v>
      </c>
    </row>
    <row r="167" spans="1:6">
      <c r="A167" s="7">
        <v>166</v>
      </c>
      <c r="B167" s="17">
        <v>69.170410770000004</v>
      </c>
      <c r="C167" s="11"/>
      <c r="D167" s="11">
        <v>70.804833220000006</v>
      </c>
      <c r="E167" s="11">
        <f t="shared" si="5"/>
        <v>0.84843429229992751</v>
      </c>
      <c r="F167">
        <f t="shared" si="4"/>
        <v>0.61777738404475779</v>
      </c>
    </row>
    <row r="168" spans="1:6">
      <c r="A168" s="7">
        <v>167</v>
      </c>
      <c r="B168" s="17">
        <v>69.159099220000002</v>
      </c>
      <c r="C168" s="11"/>
      <c r="D168" s="11">
        <v>69.170410770000004</v>
      </c>
      <c r="E168" s="11">
        <f t="shared" si="5"/>
        <v>-0.78598815770007491</v>
      </c>
      <c r="F168">
        <f t="shared" si="4"/>
        <v>0.63568682389862818</v>
      </c>
    </row>
    <row r="169" spans="1:6">
      <c r="A169" s="7">
        <v>168</v>
      </c>
      <c r="B169" s="17">
        <v>69.763615689999995</v>
      </c>
      <c r="C169" s="11"/>
      <c r="D169" s="11">
        <v>69.159099220000002</v>
      </c>
      <c r="E169" s="11">
        <f t="shared" si="5"/>
        <v>-0.79729970770007697</v>
      </c>
      <c r="F169">
        <f t="shared" si="4"/>
        <v>3.7165376738127087E-2</v>
      </c>
    </row>
    <row r="170" spans="1:6">
      <c r="A170" s="7">
        <v>169</v>
      </c>
      <c r="B170" s="17">
        <v>71.960030889999999</v>
      </c>
      <c r="C170" s="11"/>
      <c r="D170" s="11">
        <v>69.763615689999995</v>
      </c>
      <c r="E170" s="11">
        <f t="shared" si="5"/>
        <v>-0.19278323770008399</v>
      </c>
      <c r="F170">
        <f t="shared" si="4"/>
        <v>4.0145410403498287</v>
      </c>
    </row>
    <row r="171" spans="1:6">
      <c r="A171" s="7">
        <v>170</v>
      </c>
      <c r="B171" s="17">
        <v>71.03276717</v>
      </c>
      <c r="C171" s="11"/>
      <c r="D171" s="11">
        <v>71.960030889999999</v>
      </c>
      <c r="E171" s="11">
        <f t="shared" si="5"/>
        <v>2.0036319622999201</v>
      </c>
      <c r="F171">
        <f t="shared" si="4"/>
        <v>1.1585685930318215</v>
      </c>
    </row>
    <row r="172" spans="1:6">
      <c r="A172" s="7">
        <v>171</v>
      </c>
      <c r="B172" s="17">
        <v>69.532634400000006</v>
      </c>
      <c r="C172" s="11"/>
      <c r="D172" s="11">
        <v>71.03276717</v>
      </c>
      <c r="E172" s="11">
        <f t="shared" si="5"/>
        <v>1.076368242299921</v>
      </c>
      <c r="F172">
        <f t="shared" si="4"/>
        <v>0.17957637493686537</v>
      </c>
    </row>
    <row r="173" spans="1:6">
      <c r="A173" s="7">
        <v>172</v>
      </c>
      <c r="B173" s="17">
        <v>69.431101709999993</v>
      </c>
      <c r="C173" s="11"/>
      <c r="D173" s="11">
        <v>69.532634400000006</v>
      </c>
      <c r="E173" s="11">
        <f t="shared" si="5"/>
        <v>-0.42376452770007234</v>
      </c>
      <c r="F173">
        <f t="shared" si="4"/>
        <v>0.27593716692345116</v>
      </c>
    </row>
    <row r="174" spans="1:6">
      <c r="A174" s="7">
        <v>173</v>
      </c>
      <c r="B174" s="17">
        <v>68.879757260000005</v>
      </c>
      <c r="C174" s="11"/>
      <c r="D174" s="11">
        <v>69.431101709999993</v>
      </c>
      <c r="E174" s="11">
        <f t="shared" si="5"/>
        <v>-0.52529721770008564</v>
      </c>
      <c r="F174">
        <f t="shared" si="4"/>
        <v>1.1591572806279953</v>
      </c>
    </row>
    <row r="175" spans="1:6">
      <c r="A175" s="7">
        <v>174</v>
      </c>
      <c r="B175" s="17">
        <v>69.691277690000007</v>
      </c>
      <c r="C175" s="11"/>
      <c r="D175" s="11">
        <v>68.879757260000005</v>
      </c>
      <c r="E175" s="11">
        <f t="shared" si="5"/>
        <v>-1.0766416677000734</v>
      </c>
      <c r="F175">
        <f t="shared" si="4"/>
        <v>7.028927067961796E-2</v>
      </c>
    </row>
    <row r="176" spans="1:6">
      <c r="A176" s="7">
        <v>175</v>
      </c>
      <c r="B176" s="17">
        <v>69.785784219999996</v>
      </c>
      <c r="C176" s="11"/>
      <c r="D176" s="11">
        <v>69.691277690000007</v>
      </c>
      <c r="E176" s="11">
        <f t="shared" si="5"/>
        <v>-0.26512123770007179</v>
      </c>
      <c r="F176">
        <f t="shared" si="4"/>
        <v>2.9109378483584466E-2</v>
      </c>
    </row>
    <row r="177" spans="1:6">
      <c r="A177" s="7">
        <v>176</v>
      </c>
      <c r="B177" s="17">
        <v>68.172759679999999</v>
      </c>
      <c r="C177" s="11"/>
      <c r="D177" s="11">
        <v>69.785784219999996</v>
      </c>
      <c r="E177" s="11">
        <f t="shared" si="5"/>
        <v>-0.17061470770008214</v>
      </c>
      <c r="F177">
        <f t="shared" si="4"/>
        <v>3.1813689659361071</v>
      </c>
    </row>
    <row r="178" spans="1:6">
      <c r="A178" s="7">
        <v>177</v>
      </c>
      <c r="B178" s="17">
        <v>68.909333989999993</v>
      </c>
      <c r="C178" s="11"/>
      <c r="D178" s="11">
        <v>68.172759679999999</v>
      </c>
      <c r="E178" s="11">
        <f t="shared" si="5"/>
        <v>-1.78363924770008</v>
      </c>
      <c r="F178">
        <f t="shared" si="4"/>
        <v>1.0963449837608836</v>
      </c>
    </row>
    <row r="179" spans="1:6">
      <c r="A179" s="7">
        <v>178</v>
      </c>
      <c r="B179" s="17">
        <v>69.576229400000003</v>
      </c>
      <c r="C179" s="11"/>
      <c r="D179" s="11">
        <v>68.909333989999993</v>
      </c>
      <c r="E179" s="11">
        <f t="shared" si="5"/>
        <v>-1.0470649377000854</v>
      </c>
      <c r="F179">
        <f t="shared" si="4"/>
        <v>0.14452886979169891</v>
      </c>
    </row>
    <row r="180" spans="1:6">
      <c r="A180" s="7">
        <v>179</v>
      </c>
      <c r="B180" s="17">
        <v>68.440514140000005</v>
      </c>
      <c r="C180" s="11"/>
      <c r="D180" s="11">
        <v>69.576229400000003</v>
      </c>
      <c r="E180" s="11">
        <f t="shared" si="5"/>
        <v>-0.38016952770007606</v>
      </c>
      <c r="F180">
        <f t="shared" si="4"/>
        <v>2.2979066895804978</v>
      </c>
    </row>
    <row r="181" spans="1:6">
      <c r="A181" s="7">
        <v>180</v>
      </c>
      <c r="B181" s="17">
        <v>69.124305509999999</v>
      </c>
      <c r="C181" s="11"/>
      <c r="D181" s="11">
        <v>68.440514140000005</v>
      </c>
      <c r="E181" s="11">
        <f t="shared" si="5"/>
        <v>-1.5158847877000738</v>
      </c>
      <c r="F181">
        <f t="shared" si="4"/>
        <v>0.69237945577979876</v>
      </c>
    </row>
    <row r="182" spans="1:6">
      <c r="A182" s="7">
        <v>181</v>
      </c>
      <c r="B182" s="17">
        <v>71.43178503</v>
      </c>
      <c r="C182" s="11"/>
      <c r="D182" s="11">
        <v>69.124305509999999</v>
      </c>
      <c r="E182" s="11">
        <f t="shared" si="5"/>
        <v>-0.83209341770007939</v>
      </c>
      <c r="F182">
        <f t="shared" si="4"/>
        <v>2.1767641508597553</v>
      </c>
    </row>
    <row r="183" spans="1:6">
      <c r="A183" s="7">
        <v>182</v>
      </c>
      <c r="B183" s="17">
        <v>71.643083110000006</v>
      </c>
      <c r="C183" s="11"/>
      <c r="D183" s="11">
        <v>71.43178503</v>
      </c>
      <c r="E183" s="11">
        <f t="shared" si="5"/>
        <v>1.4753861022999217</v>
      </c>
      <c r="F183">
        <f t="shared" si="4"/>
        <v>2.8449035308207757</v>
      </c>
    </row>
    <row r="184" spans="1:6">
      <c r="A184" s="7">
        <v>183</v>
      </c>
      <c r="B184" s="17">
        <v>71.168241550000005</v>
      </c>
      <c r="C184" s="11"/>
      <c r="D184" s="11">
        <v>71.643083110000006</v>
      </c>
      <c r="E184" s="11">
        <f t="shared" si="5"/>
        <v>1.6866841822999277</v>
      </c>
      <c r="F184">
        <f t="shared" si="4"/>
        <v>1.4685625412227614</v>
      </c>
    </row>
    <row r="185" spans="1:6">
      <c r="A185" s="7">
        <v>184</v>
      </c>
      <c r="B185" s="17">
        <v>68.866523270000002</v>
      </c>
      <c r="C185" s="11"/>
      <c r="D185" s="11">
        <v>71.168241550000005</v>
      </c>
      <c r="E185" s="11">
        <f t="shared" si="5"/>
        <v>1.2118426222999261</v>
      </c>
      <c r="F185">
        <f t="shared" si="4"/>
        <v>1.187828949247175</v>
      </c>
    </row>
    <row r="186" spans="1:6">
      <c r="A186" s="7">
        <v>185</v>
      </c>
      <c r="B186" s="17">
        <v>69.446339870000003</v>
      </c>
      <c r="C186" s="11"/>
      <c r="D186" s="11">
        <v>68.866523270000002</v>
      </c>
      <c r="E186" s="11">
        <f t="shared" si="5"/>
        <v>-1.0898756577000768</v>
      </c>
      <c r="F186">
        <f t="shared" si="4"/>
        <v>0.26016024234188934</v>
      </c>
    </row>
    <row r="187" spans="1:6">
      <c r="A187" s="7">
        <v>186</v>
      </c>
      <c r="B187" s="17">
        <v>70.156296519999998</v>
      </c>
      <c r="C187" s="11"/>
      <c r="D187" s="11">
        <v>69.446339870000003</v>
      </c>
      <c r="E187" s="11">
        <f t="shared" si="5"/>
        <v>-0.51005905770007587</v>
      </c>
      <c r="F187">
        <f t="shared" si="4"/>
        <v>3.9959047407304764E-2</v>
      </c>
    </row>
    <row r="188" spans="1:6">
      <c r="A188" s="7">
        <v>187</v>
      </c>
      <c r="B188" s="17">
        <v>70.788921189999996</v>
      </c>
      <c r="C188" s="11"/>
      <c r="D188" s="11">
        <v>70.156296519999998</v>
      </c>
      <c r="E188" s="11">
        <f t="shared" si="5"/>
        <v>0.19989759229991932</v>
      </c>
      <c r="F188">
        <f t="shared" si="4"/>
        <v>0.69309331722497314</v>
      </c>
    </row>
    <row r="189" spans="1:6">
      <c r="A189" s="7">
        <v>188</v>
      </c>
      <c r="B189" s="17">
        <v>70.849092380000002</v>
      </c>
      <c r="C189" s="11"/>
      <c r="D189" s="11">
        <v>70.788921189999996</v>
      </c>
      <c r="E189" s="11">
        <f t="shared" si="5"/>
        <v>0.83252226229991777</v>
      </c>
      <c r="F189">
        <f t="shared" si="4"/>
        <v>0.79690159977915531</v>
      </c>
    </row>
    <row r="190" spans="1:6">
      <c r="A190" s="7">
        <v>189</v>
      </c>
      <c r="B190" s="17">
        <v>68.912998349999995</v>
      </c>
      <c r="C190" s="11"/>
      <c r="D190" s="11">
        <v>70.849092380000002</v>
      </c>
      <c r="E190" s="11">
        <f t="shared" si="5"/>
        <v>0.89269345229992325</v>
      </c>
      <c r="F190">
        <f t="shared" si="4"/>
        <v>1.0886847655448679</v>
      </c>
    </row>
    <row r="191" spans="1:6">
      <c r="A191" s="7">
        <v>190</v>
      </c>
      <c r="B191" s="17">
        <v>69.051670479999999</v>
      </c>
      <c r="C191" s="11"/>
      <c r="D191" s="11">
        <v>68.912998349999995</v>
      </c>
      <c r="E191" s="11">
        <f t="shared" si="5"/>
        <v>-1.0434005777000834</v>
      </c>
      <c r="F191">
        <f t="shared" si="4"/>
        <v>0.81853356407779654</v>
      </c>
    </row>
    <row r="192" spans="1:6">
      <c r="A192" s="7">
        <v>191</v>
      </c>
      <c r="B192" s="17">
        <v>68.99923192</v>
      </c>
      <c r="C192" s="11"/>
      <c r="D192" s="11">
        <v>69.051670479999999</v>
      </c>
      <c r="E192" s="11">
        <f t="shared" si="5"/>
        <v>-0.9047284477000801</v>
      </c>
      <c r="F192">
        <f t="shared" si="4"/>
        <v>0.91616868062952295</v>
      </c>
    </row>
    <row r="193" spans="1:6">
      <c r="A193" s="7">
        <v>192</v>
      </c>
      <c r="B193" s="17">
        <v>69.633953919999996</v>
      </c>
      <c r="C193" s="11"/>
      <c r="D193" s="11">
        <v>68.99923192</v>
      </c>
      <c r="E193" s="11">
        <f t="shared" si="5"/>
        <v>-0.9571670077000789</v>
      </c>
      <c r="F193">
        <f t="shared" si="4"/>
        <v>0.10397078299070622</v>
      </c>
    </row>
    <row r="194" spans="1:6">
      <c r="A194" s="7">
        <v>193</v>
      </c>
      <c r="B194" s="17">
        <v>69.183201850000003</v>
      </c>
      <c r="C194" s="11"/>
      <c r="D194" s="11">
        <v>69.633953919999996</v>
      </c>
      <c r="E194" s="11">
        <f t="shared" si="5"/>
        <v>-0.32244500770008244</v>
      </c>
      <c r="F194">
        <f t="shared" ref="F194:F257" si="6">(B194-$C$2)^2</f>
        <v>0.59783372096393639</v>
      </c>
    </row>
    <row r="195" spans="1:6">
      <c r="A195" s="7">
        <v>194</v>
      </c>
      <c r="B195" s="17">
        <v>70.932205300000007</v>
      </c>
      <c r="C195" s="11"/>
      <c r="D195" s="11">
        <v>69.183201850000003</v>
      </c>
      <c r="E195" s="11">
        <f t="shared" ref="E195:E258" si="7">D195-$C$2</f>
        <v>-0.7731970777000754</v>
      </c>
      <c r="F195">
        <f t="shared" si="6"/>
        <v>0.95219807622114605</v>
      </c>
    </row>
    <row r="196" spans="1:6">
      <c r="A196" s="7">
        <v>195</v>
      </c>
      <c r="B196" s="17">
        <v>69.945390239999995</v>
      </c>
      <c r="C196" s="11"/>
      <c r="D196" s="11">
        <v>70.932205300000007</v>
      </c>
      <c r="E196" s="11">
        <f t="shared" si="7"/>
        <v>0.97580637229992817</v>
      </c>
      <c r="F196">
        <f t="shared" si="6"/>
        <v>1.2119120487797847E-4</v>
      </c>
    </row>
    <row r="197" spans="1:6">
      <c r="A197" s="7">
        <v>196</v>
      </c>
      <c r="B197" s="17">
        <v>68.788630400000002</v>
      </c>
      <c r="C197" s="11"/>
      <c r="D197" s="11">
        <v>69.945390239999995</v>
      </c>
      <c r="E197" s="11">
        <f t="shared" si="7"/>
        <v>-1.1008687700083897E-2</v>
      </c>
      <c r="F197">
        <f t="shared" si="6"/>
        <v>1.3636833342868038</v>
      </c>
    </row>
    <row r="198" spans="1:6">
      <c r="A198" s="7">
        <v>197</v>
      </c>
      <c r="B198" s="17">
        <v>69.36414757</v>
      </c>
      <c r="C198" s="11"/>
      <c r="D198" s="11">
        <v>68.788630400000002</v>
      </c>
      <c r="E198" s="11">
        <f t="shared" si="7"/>
        <v>-1.1677685277000762</v>
      </c>
      <c r="F198">
        <f t="shared" si="6"/>
        <v>0.35076167069758635</v>
      </c>
    </row>
    <row r="199" spans="1:6">
      <c r="A199" s="7">
        <v>198</v>
      </c>
      <c r="B199" s="17">
        <v>68.904800359999996</v>
      </c>
      <c r="C199" s="11"/>
      <c r="D199" s="11">
        <v>69.36414757</v>
      </c>
      <c r="E199" s="11">
        <f t="shared" si="7"/>
        <v>-0.59225135770007853</v>
      </c>
      <c r="F199">
        <f t="shared" si="6"/>
        <v>1.1058595475888655</v>
      </c>
    </row>
    <row r="200" spans="1:6">
      <c r="A200" s="7">
        <v>199</v>
      </c>
      <c r="B200" s="17">
        <v>69.108972640000005</v>
      </c>
      <c r="C200" s="11"/>
      <c r="D200" s="11">
        <v>68.904800359999996</v>
      </c>
      <c r="E200" s="11">
        <f t="shared" si="7"/>
        <v>-1.0515985677000828</v>
      </c>
      <c r="F200">
        <f t="shared" si="6"/>
        <v>0.71813131308512856</v>
      </c>
    </row>
    <row r="201" spans="1:6">
      <c r="A201" s="7">
        <v>200</v>
      </c>
      <c r="B201" s="17">
        <v>68.963978879999999</v>
      </c>
      <c r="C201" s="11"/>
      <c r="D201" s="11">
        <v>69.108972640000005</v>
      </c>
      <c r="E201" s="11">
        <f t="shared" si="7"/>
        <v>-0.847426287700074</v>
      </c>
      <c r="F201">
        <f t="shared" si="6"/>
        <v>0.98489755107702814</v>
      </c>
    </row>
    <row r="202" spans="1:6">
      <c r="A202" s="7">
        <v>201</v>
      </c>
      <c r="B202" s="17">
        <v>71.056867600000004</v>
      </c>
      <c r="C202" s="11"/>
      <c r="D202" s="11">
        <v>68.963978879999999</v>
      </c>
      <c r="E202" s="11">
        <f t="shared" si="7"/>
        <v>-0.99242004770007952</v>
      </c>
      <c r="F202">
        <f t="shared" si="6"/>
        <v>1.2110312987135603</v>
      </c>
    </row>
    <row r="203" spans="1:6">
      <c r="A203" s="7">
        <v>202</v>
      </c>
      <c r="B203" s="17">
        <v>71.730730719999997</v>
      </c>
      <c r="C203" s="11"/>
      <c r="D203" s="11">
        <v>71.056867600000004</v>
      </c>
      <c r="E203" s="11">
        <f t="shared" si="7"/>
        <v>1.1004686722999253</v>
      </c>
      <c r="F203">
        <f t="shared" si="6"/>
        <v>3.1482533091662401</v>
      </c>
    </row>
    <row r="204" spans="1:6">
      <c r="A204" s="7">
        <v>203</v>
      </c>
      <c r="B204" s="17">
        <v>70.663908640000002</v>
      </c>
      <c r="C204" s="11"/>
      <c r="D204" s="11">
        <v>71.730730719999997</v>
      </c>
      <c r="E204" s="11">
        <f t="shared" si="7"/>
        <v>1.7743317922999182</v>
      </c>
      <c r="F204">
        <f t="shared" si="6"/>
        <v>0.50056999299872107</v>
      </c>
    </row>
    <row r="205" spans="1:6">
      <c r="A205" s="7">
        <v>204</v>
      </c>
      <c r="B205" s="17">
        <v>69.487908910000002</v>
      </c>
      <c r="C205" s="11"/>
      <c r="D205" s="11">
        <v>70.663908640000002</v>
      </c>
      <c r="E205" s="11">
        <f t="shared" si="7"/>
        <v>0.70750971229992388</v>
      </c>
      <c r="F205">
        <f t="shared" si="6"/>
        <v>0.21948289668461848</v>
      </c>
    </row>
    <row r="206" spans="1:6">
      <c r="A206" s="7">
        <v>205</v>
      </c>
      <c r="B206" s="17">
        <v>70.434490370000006</v>
      </c>
      <c r="C206" s="11"/>
      <c r="D206" s="11">
        <v>69.487908910000002</v>
      </c>
      <c r="E206" s="11">
        <f t="shared" si="7"/>
        <v>-0.46849001770007703</v>
      </c>
      <c r="F206">
        <f t="shared" si="6"/>
        <v>0.22857142720042481</v>
      </c>
    </row>
    <row r="207" spans="1:6">
      <c r="A207" s="7">
        <v>206</v>
      </c>
      <c r="B207" s="17">
        <v>70.819525630000001</v>
      </c>
      <c r="C207" s="11"/>
      <c r="D207" s="11">
        <v>70.434490370000006</v>
      </c>
      <c r="E207" s="11">
        <f t="shared" si="7"/>
        <v>0.47809144229992739</v>
      </c>
      <c r="F207">
        <f t="shared" si="6"/>
        <v>0.74498770422313909</v>
      </c>
    </row>
    <row r="208" spans="1:6">
      <c r="A208" s="7">
        <v>207</v>
      </c>
      <c r="B208" s="17">
        <v>70.859420670000006</v>
      </c>
      <c r="C208" s="11"/>
      <c r="D208" s="11">
        <v>70.819525630000001</v>
      </c>
      <c r="E208" s="11">
        <f t="shared" si="7"/>
        <v>0.8631267022999225</v>
      </c>
      <c r="F208">
        <f t="shared" si="6"/>
        <v>0.81544826706639606</v>
      </c>
    </row>
    <row r="209" spans="1:6">
      <c r="A209" s="7">
        <v>208</v>
      </c>
      <c r="B209" s="17">
        <v>70.243602480000007</v>
      </c>
      <c r="C209" s="11"/>
      <c r="D209" s="11">
        <v>70.859420670000006</v>
      </c>
      <c r="E209" s="11">
        <f t="shared" si="7"/>
        <v>0.90302174229992715</v>
      </c>
      <c r="F209">
        <f t="shared" si="6"/>
        <v>8.2485880453697674E-2</v>
      </c>
    </row>
    <row r="210" spans="1:6">
      <c r="A210" s="7">
        <v>209</v>
      </c>
      <c r="B210" s="17">
        <v>68.200105260000001</v>
      </c>
      <c r="C210" s="11"/>
      <c r="D210" s="11">
        <v>70.243602480000007</v>
      </c>
      <c r="E210" s="11">
        <f t="shared" si="7"/>
        <v>0.28720355229992833</v>
      </c>
      <c r="F210">
        <f t="shared" si="6"/>
        <v>3.084567447203391</v>
      </c>
    </row>
    <row r="211" spans="1:6">
      <c r="A211" s="7">
        <v>210</v>
      </c>
      <c r="B211" s="17">
        <v>68.734516429999999</v>
      </c>
      <c r="C211" s="11"/>
      <c r="D211" s="11">
        <v>68.200105260000001</v>
      </c>
      <c r="E211" s="11">
        <f t="shared" si="7"/>
        <v>-1.7562936677000778</v>
      </c>
      <c r="F211">
        <f t="shared" si="6"/>
        <v>1.4929968381857843</v>
      </c>
    </row>
    <row r="212" spans="1:6">
      <c r="A212" s="7">
        <v>211</v>
      </c>
      <c r="B212" s="17">
        <v>69.24818836</v>
      </c>
      <c r="C212" s="11"/>
      <c r="D212" s="11">
        <v>68.734516429999999</v>
      </c>
      <c r="E212" s="11">
        <f t="shared" si="7"/>
        <v>-1.2218824977000793</v>
      </c>
      <c r="F212">
        <f t="shared" si="6"/>
        <v>0.50156220820206721</v>
      </c>
    </row>
    <row r="213" spans="1:6">
      <c r="A213" s="7">
        <v>212</v>
      </c>
      <c r="B213" s="17">
        <v>70.573613359999996</v>
      </c>
      <c r="C213" s="11"/>
      <c r="D213" s="11">
        <v>69.24818836</v>
      </c>
      <c r="E213" s="11">
        <f t="shared" si="7"/>
        <v>-0.70821056770007829</v>
      </c>
      <c r="F213">
        <f t="shared" si="6"/>
        <v>0.38095365543930926</v>
      </c>
    </row>
    <row r="214" spans="1:6">
      <c r="A214" s="7">
        <v>213</v>
      </c>
      <c r="B214" s="17">
        <v>71.581553940000006</v>
      </c>
      <c r="C214" s="11"/>
      <c r="D214" s="11">
        <v>70.573613359999996</v>
      </c>
      <c r="E214" s="11">
        <f t="shared" si="7"/>
        <v>0.61721443229991735</v>
      </c>
      <c r="F214">
        <f t="shared" si="6"/>
        <v>2.641128814003578</v>
      </c>
    </row>
    <row r="215" spans="1:6">
      <c r="A215" s="7">
        <v>214</v>
      </c>
      <c r="B215" s="17">
        <v>70.118897309999994</v>
      </c>
      <c r="C215" s="11"/>
      <c r="D215" s="11">
        <v>71.581553940000006</v>
      </c>
      <c r="E215" s="11">
        <f t="shared" si="7"/>
        <v>1.6251550122999276</v>
      </c>
      <c r="F215">
        <f t="shared" si="6"/>
        <v>2.6405724250089503E-2</v>
      </c>
    </row>
    <row r="216" spans="1:6">
      <c r="A216" s="7">
        <v>215</v>
      </c>
      <c r="B216" s="17">
        <v>70.065257439999996</v>
      </c>
      <c r="C216" s="11"/>
      <c r="D216" s="11">
        <v>70.118897309999994</v>
      </c>
      <c r="E216" s="11">
        <f t="shared" si="7"/>
        <v>0.16249838229991553</v>
      </c>
      <c r="F216">
        <f t="shared" si="6"/>
        <v>1.1850175700151337E-2</v>
      </c>
    </row>
    <row r="217" spans="1:6">
      <c r="A217" s="7">
        <v>216</v>
      </c>
      <c r="B217" s="17">
        <v>71.739364269999996</v>
      </c>
      <c r="C217" s="11"/>
      <c r="D217" s="11">
        <v>70.065257439999996</v>
      </c>
      <c r="E217" s="11">
        <f t="shared" si="7"/>
        <v>0.10885851229991772</v>
      </c>
      <c r="F217">
        <f t="shared" si="6"/>
        <v>3.1789654118426611</v>
      </c>
    </row>
    <row r="218" spans="1:6">
      <c r="A218" s="7">
        <v>217</v>
      </c>
      <c r="B218" s="17">
        <v>70.356328610000006</v>
      </c>
      <c r="C218" s="11"/>
      <c r="D218" s="11">
        <v>71.739364269999996</v>
      </c>
      <c r="E218" s="11">
        <f t="shared" si="7"/>
        <v>1.7829653422999172</v>
      </c>
      <c r="F218">
        <f t="shared" si="6"/>
        <v>0.15994375078452053</v>
      </c>
    </row>
    <row r="219" spans="1:6">
      <c r="A219" s="7">
        <v>218</v>
      </c>
      <c r="B219" s="17">
        <v>71.373909620000006</v>
      </c>
      <c r="C219" s="11"/>
      <c r="D219" s="11">
        <v>70.356328610000006</v>
      </c>
      <c r="E219" s="11">
        <f t="shared" si="7"/>
        <v>0.39992968229992698</v>
      </c>
      <c r="F219">
        <f t="shared" si="6"/>
        <v>2.00933656278462</v>
      </c>
    </row>
    <row r="220" spans="1:6">
      <c r="A220" s="7">
        <v>219</v>
      </c>
      <c r="B220" s="17">
        <v>69.864861349999998</v>
      </c>
      <c r="C220" s="11"/>
      <c r="D220" s="11">
        <v>71.373909620000006</v>
      </c>
      <c r="E220" s="11">
        <f t="shared" si="7"/>
        <v>1.4175106922999277</v>
      </c>
      <c r="F220">
        <f t="shared" si="6"/>
        <v>8.3791281311982602E-3</v>
      </c>
    </row>
    <row r="221" spans="1:6">
      <c r="A221" s="7">
        <v>220</v>
      </c>
      <c r="B221" s="17">
        <v>69.529703679999997</v>
      </c>
      <c r="C221" s="11"/>
      <c r="D221" s="11">
        <v>69.864861349999998</v>
      </c>
      <c r="E221" s="11">
        <f t="shared" si="7"/>
        <v>-9.1537577700080419E-2</v>
      </c>
      <c r="F221">
        <f t="shared" si="6"/>
        <v>0.18206883440983382</v>
      </c>
    </row>
    <row r="222" spans="1:6">
      <c r="A222" s="7">
        <v>221</v>
      </c>
      <c r="B222" s="17">
        <v>69.747218189999998</v>
      </c>
      <c r="C222" s="11"/>
      <c r="D222" s="11">
        <v>69.529703679999997</v>
      </c>
      <c r="E222" s="11">
        <f t="shared" si="7"/>
        <v>-0.42669524770008138</v>
      </c>
      <c r="F222">
        <f t="shared" si="6"/>
        <v>4.3756581024749878E-2</v>
      </c>
    </row>
    <row r="223" spans="1:6">
      <c r="A223" s="7">
        <v>222</v>
      </c>
      <c r="B223" s="17">
        <v>70.000918709999993</v>
      </c>
      <c r="C223" s="11"/>
      <c r="D223" s="11">
        <v>69.747218189999998</v>
      </c>
      <c r="E223" s="11">
        <f t="shared" si="7"/>
        <v>-0.2091807377000805</v>
      </c>
      <c r="F223">
        <f t="shared" si="6"/>
        <v>1.9820110160318092E-3</v>
      </c>
    </row>
    <row r="224" spans="1:6">
      <c r="A224" s="7">
        <v>223</v>
      </c>
      <c r="B224" s="17">
        <v>69.238707730000002</v>
      </c>
      <c r="C224" s="11"/>
      <c r="D224" s="11">
        <v>70.000918709999993</v>
      </c>
      <c r="E224" s="11">
        <f t="shared" si="7"/>
        <v>4.4519782299914823E-2</v>
      </c>
      <c r="F224">
        <f t="shared" si="6"/>
        <v>0.51508065525617108</v>
      </c>
    </row>
    <row r="225" spans="1:6">
      <c r="A225" s="7">
        <v>224</v>
      </c>
      <c r="B225" s="17">
        <v>68.95176592</v>
      </c>
      <c r="C225" s="11"/>
      <c r="D225" s="11">
        <v>69.238707730000002</v>
      </c>
      <c r="E225" s="11">
        <f t="shared" si="7"/>
        <v>-0.71769119770007705</v>
      </c>
      <c r="F225">
        <f t="shared" si="6"/>
        <v>1.0092874801605067</v>
      </c>
    </row>
    <row r="226" spans="1:6">
      <c r="A226" s="7">
        <v>225</v>
      </c>
      <c r="B226" s="17">
        <v>68.931726949999998</v>
      </c>
      <c r="C226" s="11"/>
      <c r="D226" s="11">
        <v>68.95176592</v>
      </c>
      <c r="E226" s="11">
        <f t="shared" si="7"/>
        <v>-1.0046330077000789</v>
      </c>
      <c r="F226">
        <f t="shared" si="6"/>
        <v>1.0499526618837944</v>
      </c>
    </row>
    <row r="227" spans="1:6">
      <c r="A227" s="7">
        <v>226</v>
      </c>
      <c r="B227" s="17">
        <v>70.000468990000002</v>
      </c>
      <c r="C227" s="11"/>
      <c r="D227" s="11">
        <v>68.931726949999998</v>
      </c>
      <c r="E227" s="11">
        <f t="shared" si="7"/>
        <v>-1.0246719777000806</v>
      </c>
      <c r="F227">
        <f t="shared" si="6"/>
        <v>1.9421703911190991E-3</v>
      </c>
    </row>
    <row r="228" spans="1:6">
      <c r="A228" s="7">
        <v>227</v>
      </c>
      <c r="B228" s="17">
        <v>70.650798420000001</v>
      </c>
      <c r="C228" s="11"/>
      <c r="D228" s="11">
        <v>70.000468990000002</v>
      </c>
      <c r="E228" s="11">
        <f t="shared" si="7"/>
        <v>4.4070062299923052E-2</v>
      </c>
      <c r="F228">
        <f t="shared" si="6"/>
        <v>0.48219065490638996</v>
      </c>
    </row>
    <row r="229" spans="1:6">
      <c r="A229" s="7">
        <v>228</v>
      </c>
      <c r="B229" s="17">
        <v>72.616282690000006</v>
      </c>
      <c r="C229" s="11"/>
      <c r="D229" s="11">
        <v>70.650798420000001</v>
      </c>
      <c r="E229" s="11">
        <f t="shared" si="7"/>
        <v>0.69439949229992237</v>
      </c>
      <c r="F229">
        <f t="shared" si="6"/>
        <v>7.0749816289468139</v>
      </c>
    </row>
    <row r="230" spans="1:6">
      <c r="A230" s="7">
        <v>229</v>
      </c>
      <c r="B230" s="17">
        <v>72.745519090000002</v>
      </c>
      <c r="C230" s="11"/>
      <c r="D230" s="11">
        <v>72.616282690000006</v>
      </c>
      <c r="E230" s="11">
        <f t="shared" si="7"/>
        <v>2.659883762299927</v>
      </c>
      <c r="F230">
        <f t="shared" si="6"/>
        <v>7.779191279747951</v>
      </c>
    </row>
    <row r="231" spans="1:6">
      <c r="A231" s="7">
        <v>230</v>
      </c>
      <c r="B231" s="17">
        <v>70.352583409999994</v>
      </c>
      <c r="C231" s="11"/>
      <c r="D231" s="11">
        <v>72.745519090000002</v>
      </c>
      <c r="E231" s="11">
        <f t="shared" si="7"/>
        <v>2.7891201622999233</v>
      </c>
      <c r="F231">
        <f t="shared" si="6"/>
        <v>0.15696214401525199</v>
      </c>
    </row>
    <row r="232" spans="1:6">
      <c r="A232" s="7">
        <v>231</v>
      </c>
      <c r="B232" s="17">
        <v>69.712763929999994</v>
      </c>
      <c r="C232" s="11"/>
      <c r="D232" s="11">
        <v>70.352583409999994</v>
      </c>
      <c r="E232" s="11">
        <f t="shared" si="7"/>
        <v>0.39618448229991543</v>
      </c>
      <c r="F232">
        <f t="shared" si="6"/>
        <v>5.9358012104320158E-2</v>
      </c>
    </row>
    <row r="233" spans="1:6">
      <c r="A233" s="7">
        <v>232</v>
      </c>
      <c r="B233" s="17">
        <v>70.719001320000004</v>
      </c>
      <c r="C233" s="11"/>
      <c r="D233" s="11">
        <v>69.712763929999994</v>
      </c>
      <c r="E233" s="11">
        <f t="shared" si="7"/>
        <v>-0.24363499770008445</v>
      </c>
      <c r="F233">
        <f t="shared" si="6"/>
        <v>0.58156240874156906</v>
      </c>
    </row>
    <row r="234" spans="1:6">
      <c r="A234" s="7">
        <v>233</v>
      </c>
      <c r="B234" s="17">
        <v>70.548173439999999</v>
      </c>
      <c r="C234" s="11"/>
      <c r="D234" s="11">
        <v>70.719001320000004</v>
      </c>
      <c r="E234" s="11">
        <f t="shared" si="7"/>
        <v>0.76260239229992521</v>
      </c>
      <c r="F234">
        <f t="shared" si="6"/>
        <v>0.35019707340780903</v>
      </c>
    </row>
    <row r="235" spans="1:6">
      <c r="A235" s="7">
        <v>234</v>
      </c>
      <c r="B235" s="17">
        <v>70.043562089999995</v>
      </c>
      <c r="C235" s="11"/>
      <c r="D235" s="11">
        <v>70.548173439999999</v>
      </c>
      <c r="E235" s="11">
        <f t="shared" si="7"/>
        <v>0.59177451229992073</v>
      </c>
      <c r="F235">
        <f t="shared" si="6"/>
        <v>7.5974168621215071E-3</v>
      </c>
    </row>
    <row r="236" spans="1:6">
      <c r="A236" s="7">
        <v>235</v>
      </c>
      <c r="B236" s="17">
        <v>69.913260159999993</v>
      </c>
      <c r="C236" s="11"/>
      <c r="D236" s="11">
        <v>70.043562089999995</v>
      </c>
      <c r="E236" s="11">
        <f t="shared" si="7"/>
        <v>8.7163162299916053E-2</v>
      </c>
      <c r="F236">
        <f t="shared" si="6"/>
        <v>1.8609532786819506E-3</v>
      </c>
    </row>
    <row r="237" spans="1:6">
      <c r="A237" s="7">
        <v>236</v>
      </c>
      <c r="B237" s="17">
        <v>70.802164099999999</v>
      </c>
      <c r="C237" s="11"/>
      <c r="D237" s="11">
        <v>69.913260159999993</v>
      </c>
      <c r="E237" s="11">
        <f t="shared" si="7"/>
        <v>-4.3138767700085623E-2</v>
      </c>
      <c r="F237">
        <f t="shared" si="6"/>
        <v>0.71531872667551377</v>
      </c>
    </row>
    <row r="238" spans="1:6">
      <c r="A238" s="7">
        <v>237</v>
      </c>
      <c r="B238" s="17">
        <v>69.658999890000004</v>
      </c>
      <c r="C238" s="11"/>
      <c r="D238" s="11">
        <v>70.802164099999999</v>
      </c>
      <c r="E238" s="11">
        <f t="shared" si="7"/>
        <v>0.84576517229992021</v>
      </c>
      <c r="F238">
        <f t="shared" si="6"/>
        <v>8.8446187624930381E-2</v>
      </c>
    </row>
    <row r="239" spans="1:6">
      <c r="A239" s="7">
        <v>238</v>
      </c>
      <c r="B239" s="17">
        <v>69.229081230000006</v>
      </c>
      <c r="C239" s="11"/>
      <c r="D239" s="11">
        <v>69.658999890000004</v>
      </c>
      <c r="E239" s="11">
        <f t="shared" si="7"/>
        <v>-0.29739903770007459</v>
      </c>
      <c r="F239">
        <f t="shared" si="6"/>
        <v>0.52899103338773479</v>
      </c>
    </row>
    <row r="240" spans="1:6">
      <c r="A240" s="7">
        <v>239</v>
      </c>
      <c r="B240" s="17">
        <v>70.110181920000002</v>
      </c>
      <c r="C240" s="11"/>
      <c r="D240" s="11">
        <v>69.229081230000006</v>
      </c>
      <c r="E240" s="11">
        <f t="shared" si="7"/>
        <v>-0.72731769770007304</v>
      </c>
      <c r="F240">
        <f t="shared" si="6"/>
        <v>2.3649208720718375E-2</v>
      </c>
    </row>
    <row r="241" spans="1:6">
      <c r="A241" s="7">
        <v>240</v>
      </c>
      <c r="B241" s="17">
        <v>70.608831850000001</v>
      </c>
      <c r="C241" s="11"/>
      <c r="D241" s="11">
        <v>70.110181920000002</v>
      </c>
      <c r="E241" s="11">
        <f t="shared" si="7"/>
        <v>0.15378299229992365</v>
      </c>
      <c r="F241">
        <f t="shared" si="6"/>
        <v>0.42566871810081708</v>
      </c>
    </row>
    <row r="242" spans="1:6">
      <c r="A242" s="7">
        <v>241</v>
      </c>
      <c r="B242" s="17">
        <v>70.571827299999995</v>
      </c>
      <c r="C242" s="11"/>
      <c r="D242" s="11">
        <v>70.608831850000001</v>
      </c>
      <c r="E242" s="11">
        <f t="shared" si="7"/>
        <v>0.65243292229992278</v>
      </c>
      <c r="F242">
        <f t="shared" si="6"/>
        <v>0.37875208143172495</v>
      </c>
    </row>
    <row r="243" spans="1:6">
      <c r="A243" s="7">
        <v>242</v>
      </c>
      <c r="B243" s="17">
        <v>69.790645659999996</v>
      </c>
      <c r="C243" s="11"/>
      <c r="D243" s="11">
        <v>70.571827299999995</v>
      </c>
      <c r="E243" s="11">
        <f t="shared" si="7"/>
        <v>0.61542837229991676</v>
      </c>
      <c r="F243">
        <f t="shared" si="6"/>
        <v>2.7474145753255387E-2</v>
      </c>
    </row>
    <row r="244" spans="1:6">
      <c r="A244" s="7">
        <v>243</v>
      </c>
      <c r="B244" s="17">
        <v>70.675374989999995</v>
      </c>
      <c r="C244" s="11"/>
      <c r="D244" s="11">
        <v>69.790645659999996</v>
      </c>
      <c r="E244" s="11">
        <f t="shared" si="7"/>
        <v>-0.16575326770008303</v>
      </c>
      <c r="F244">
        <f t="shared" si="6"/>
        <v>0.51692657816029264</v>
      </c>
    </row>
    <row r="245" spans="1:6">
      <c r="A245" s="7">
        <v>244</v>
      </c>
      <c r="B245" s="17">
        <v>72.601899549999999</v>
      </c>
      <c r="C245" s="11"/>
      <c r="D245" s="11">
        <v>70.675374989999995</v>
      </c>
      <c r="E245" s="11">
        <f t="shared" si="7"/>
        <v>0.71897606229991595</v>
      </c>
      <c r="F245">
        <f t="shared" si="6"/>
        <v>6.9986735425892652</v>
      </c>
    </row>
    <row r="246" spans="1:6">
      <c r="A246" s="7">
        <v>245</v>
      </c>
      <c r="B246" s="17">
        <v>71.764942719999993</v>
      </c>
      <c r="C246" s="11"/>
      <c r="D246" s="11">
        <v>72.601899549999999</v>
      </c>
      <c r="E246" s="11">
        <f t="shared" si="7"/>
        <v>2.6455006222999202</v>
      </c>
      <c r="F246">
        <f t="shared" si="6"/>
        <v>3.2708306486665575</v>
      </c>
    </row>
    <row r="247" spans="1:6">
      <c r="A247" s="7">
        <v>246</v>
      </c>
      <c r="B247" s="17">
        <v>70.085219069999994</v>
      </c>
      <c r="C247" s="11"/>
      <c r="D247" s="11">
        <v>71.764942719999993</v>
      </c>
      <c r="E247" s="11">
        <f t="shared" si="7"/>
        <v>1.8085437922999148</v>
      </c>
      <c r="F247">
        <f t="shared" si="6"/>
        <v>1.659462906217038E-2</v>
      </c>
    </row>
    <row r="248" spans="1:6">
      <c r="A248" s="7">
        <v>247</v>
      </c>
      <c r="B248" s="17">
        <v>70.277388909999999</v>
      </c>
      <c r="C248" s="11"/>
      <c r="D248" s="11">
        <v>70.085219069999994</v>
      </c>
      <c r="E248" s="11">
        <f t="shared" si="7"/>
        <v>0.12882014229991512</v>
      </c>
      <c r="F248">
        <f t="shared" si="6"/>
        <v>0.10303456873690327</v>
      </c>
    </row>
    <row r="249" spans="1:6">
      <c r="A249" s="7">
        <v>248</v>
      </c>
      <c r="B249" s="17">
        <v>69.601734989999997</v>
      </c>
      <c r="C249" s="11"/>
      <c r="D249" s="11">
        <v>70.277388909999999</v>
      </c>
      <c r="E249" s="11">
        <f t="shared" si="7"/>
        <v>0.32098998229992048</v>
      </c>
      <c r="F249">
        <f t="shared" si="6"/>
        <v>0.1257865087049273</v>
      </c>
    </row>
    <row r="250" spans="1:6">
      <c r="A250" s="7">
        <v>249</v>
      </c>
      <c r="B250" s="17">
        <v>68.928133979999998</v>
      </c>
      <c r="C250" s="11"/>
      <c r="D250" s="11">
        <v>69.601734989999997</v>
      </c>
      <c r="E250" s="11">
        <f t="shared" si="7"/>
        <v>-0.35466393770008153</v>
      </c>
      <c r="F250">
        <f t="shared" si="6"/>
        <v>1.0573288026686487</v>
      </c>
    </row>
    <row r="251" spans="1:6">
      <c r="A251" s="7">
        <v>250</v>
      </c>
      <c r="B251" s="17">
        <v>69.509168639999999</v>
      </c>
      <c r="C251" s="11"/>
      <c r="D251" s="11">
        <v>68.928133979999998</v>
      </c>
      <c r="E251" s="11">
        <f t="shared" si="7"/>
        <v>-1.0282649477000803</v>
      </c>
      <c r="F251">
        <f t="shared" si="6"/>
        <v>0.20001493023629632</v>
      </c>
    </row>
    <row r="252" spans="1:6">
      <c r="A252" s="7">
        <v>251</v>
      </c>
      <c r="B252" s="17">
        <v>67.444264360000005</v>
      </c>
      <c r="C252" s="11"/>
      <c r="D252" s="11">
        <v>69.509168639999999</v>
      </c>
      <c r="E252" s="11">
        <f t="shared" si="7"/>
        <v>-0.44723028770008</v>
      </c>
      <c r="F252">
        <f t="shared" si="6"/>
        <v>6.3108200862336341</v>
      </c>
    </row>
    <row r="253" spans="1:6">
      <c r="A253" s="7">
        <v>252</v>
      </c>
      <c r="B253" s="17">
        <v>67.459857659999997</v>
      </c>
      <c r="C253" s="11"/>
      <c r="D253" s="11">
        <v>67.444264360000005</v>
      </c>
      <c r="E253" s="11">
        <f t="shared" si="7"/>
        <v>-2.5121345677000733</v>
      </c>
      <c r="F253">
        <f t="shared" si="6"/>
        <v>6.2327183013295295</v>
      </c>
    </row>
    <row r="254" spans="1:6">
      <c r="A254" s="7">
        <v>253</v>
      </c>
      <c r="B254" s="17">
        <v>68.894673429999997</v>
      </c>
      <c r="C254" s="11"/>
      <c r="D254" s="11">
        <v>67.459857659999997</v>
      </c>
      <c r="E254" s="11">
        <f t="shared" si="7"/>
        <v>-2.4965412677000813</v>
      </c>
      <c r="F254">
        <f t="shared" si="6"/>
        <v>1.1272610324664851</v>
      </c>
    </row>
    <row r="255" spans="1:6">
      <c r="A255" s="7">
        <v>254</v>
      </c>
      <c r="B255" s="17">
        <v>68.745457900000005</v>
      </c>
      <c r="C255" s="11"/>
      <c r="D255" s="11">
        <v>68.894673429999997</v>
      </c>
      <c r="E255" s="11">
        <f t="shared" si="7"/>
        <v>-1.0617254977000812</v>
      </c>
      <c r="F255">
        <f t="shared" si="6"/>
        <v>1.46637817256731</v>
      </c>
    </row>
    <row r="256" spans="1:6">
      <c r="A256" s="7">
        <v>255</v>
      </c>
      <c r="B256" s="17">
        <v>68.546229609999997</v>
      </c>
      <c r="C256" s="11"/>
      <c r="D256" s="11">
        <v>68.745457900000005</v>
      </c>
      <c r="E256" s="11">
        <f t="shared" si="7"/>
        <v>-1.2109410277000734</v>
      </c>
      <c r="F256">
        <f t="shared" si="6"/>
        <v>1.9885775045827123</v>
      </c>
    </row>
    <row r="257" spans="1:6">
      <c r="A257" s="7">
        <v>256</v>
      </c>
      <c r="B257" s="17">
        <v>69.067352060000005</v>
      </c>
      <c r="C257" s="11"/>
      <c r="D257" s="11">
        <v>68.546229609999997</v>
      </c>
      <c r="E257" s="11">
        <f t="shared" si="7"/>
        <v>-1.4101693177000811</v>
      </c>
      <c r="F257">
        <f t="shared" si="6"/>
        <v>0.79040433296731294</v>
      </c>
    </row>
    <row r="258" spans="1:6">
      <c r="A258" s="7">
        <v>257</v>
      </c>
      <c r="B258" s="17">
        <v>68.233577060000002</v>
      </c>
      <c r="C258" s="11"/>
      <c r="D258" s="11">
        <v>69.067352060000005</v>
      </c>
      <c r="E258" s="11">
        <f t="shared" si="7"/>
        <v>-0.88904686770007402</v>
      </c>
      <c r="F258">
        <f t="shared" ref="F258:F321" si="8">(B258-$C$2)^2</f>
        <v>2.9681151878255809</v>
      </c>
    </row>
    <row r="259" spans="1:6">
      <c r="A259" s="7">
        <v>258</v>
      </c>
      <c r="B259" s="17">
        <v>68.813868819999996</v>
      </c>
      <c r="C259" s="11"/>
      <c r="D259" s="11">
        <v>68.233577060000002</v>
      </c>
      <c r="E259" s="11">
        <f t="shared" ref="E259:E322" si="9">D259-$C$2</f>
        <v>-1.7228218677000768</v>
      </c>
      <c r="F259">
        <f t="shared" si="8"/>
        <v>1.305375047001162</v>
      </c>
    </row>
    <row r="260" spans="1:6">
      <c r="A260" s="7">
        <v>259</v>
      </c>
      <c r="B260" s="17">
        <v>69.282978009999994</v>
      </c>
      <c r="C260" s="11"/>
      <c r="D260" s="11">
        <v>68.813868819999996</v>
      </c>
      <c r="E260" s="11">
        <f t="shared" si="9"/>
        <v>-1.1425301077000825</v>
      </c>
      <c r="F260">
        <f t="shared" si="8"/>
        <v>0.45349573239602459</v>
      </c>
    </row>
    <row r="261" spans="1:6">
      <c r="A261" s="7">
        <v>260</v>
      </c>
      <c r="B261" s="17">
        <v>69.951031369999995</v>
      </c>
      <c r="C261" s="11"/>
      <c r="D261" s="11">
        <v>69.282978009999994</v>
      </c>
      <c r="E261" s="11">
        <f t="shared" si="9"/>
        <v>-0.67342091770008494</v>
      </c>
      <c r="F261">
        <f t="shared" si="8"/>
        <v>2.8810675663721651E-5</v>
      </c>
    </row>
    <row r="262" spans="1:6">
      <c r="A262" s="7">
        <v>261</v>
      </c>
      <c r="B262" s="17">
        <v>71.339909449999993</v>
      </c>
      <c r="C262" s="11"/>
      <c r="D262" s="11">
        <v>69.951031369999995</v>
      </c>
      <c r="E262" s="11">
        <f t="shared" si="9"/>
        <v>-5.3675577000831254E-3</v>
      </c>
      <c r="F262">
        <f t="shared" si="8"/>
        <v>1.9141013653145826</v>
      </c>
    </row>
    <row r="263" spans="1:6">
      <c r="A263" s="7">
        <v>262</v>
      </c>
      <c r="B263" s="17">
        <v>70.991140669999993</v>
      </c>
      <c r="C263" s="11"/>
      <c r="D263" s="11">
        <v>71.339909449999993</v>
      </c>
      <c r="E263" s="11">
        <f t="shared" si="9"/>
        <v>1.3835105222999147</v>
      </c>
      <c r="F263">
        <f t="shared" si="8"/>
        <v>1.0706904732578624</v>
      </c>
    </row>
    <row r="264" spans="1:6">
      <c r="A264" s="7">
        <v>263</v>
      </c>
      <c r="B264" s="17">
        <v>70.213773590000002</v>
      </c>
      <c r="C264" s="11"/>
      <c r="D264" s="11">
        <v>70.991140669999993</v>
      </c>
      <c r="E264" s="11">
        <f t="shared" si="9"/>
        <v>1.0347417422999143</v>
      </c>
      <c r="F264">
        <f t="shared" si="8"/>
        <v>6.6241716793999803E-2</v>
      </c>
    </row>
    <row r="265" spans="1:6">
      <c r="A265" s="7">
        <v>264</v>
      </c>
      <c r="B265" s="17">
        <v>69.930376409999994</v>
      </c>
      <c r="C265" s="11"/>
      <c r="D265" s="11">
        <v>70.213773590000002</v>
      </c>
      <c r="E265" s="11">
        <f t="shared" si="9"/>
        <v>0.25737466229992378</v>
      </c>
      <c r="F265">
        <f t="shared" si="8"/>
        <v>6.7717142745122617E-4</v>
      </c>
    </row>
    <row r="266" spans="1:6">
      <c r="A266" s="7">
        <v>265</v>
      </c>
      <c r="B266" s="17">
        <v>70.121486540000006</v>
      </c>
      <c r="C266" s="11"/>
      <c r="D266" s="11">
        <v>69.930376409999994</v>
      </c>
      <c r="E266" s="11">
        <f t="shared" si="9"/>
        <v>-2.6022517700084791E-2</v>
      </c>
      <c r="F266">
        <f t="shared" si="8"/>
        <v>2.7253919734891292E-2</v>
      </c>
    </row>
    <row r="267" spans="1:6">
      <c r="A267" s="7">
        <v>266</v>
      </c>
      <c r="B267" s="17">
        <v>69.077040350000004</v>
      </c>
      <c r="C267" s="11"/>
      <c r="D267" s="11">
        <v>70.121486540000006</v>
      </c>
      <c r="E267" s="11">
        <f t="shared" si="9"/>
        <v>0.16508761229992786</v>
      </c>
      <c r="F267">
        <f t="shared" si="8"/>
        <v>0.77327150817469759</v>
      </c>
    </row>
    <row r="268" spans="1:6">
      <c r="A268" s="7">
        <v>267</v>
      </c>
      <c r="B268" s="17">
        <v>69.295002920000002</v>
      </c>
      <c r="C268" s="11"/>
      <c r="D268" s="11">
        <v>69.077040350000004</v>
      </c>
      <c r="E268" s="11">
        <f t="shared" si="9"/>
        <v>-0.87935857770007431</v>
      </c>
      <c r="F268">
        <f t="shared" si="8"/>
        <v>0.43744467900160017</v>
      </c>
    </row>
    <row r="269" spans="1:6">
      <c r="A269" s="7">
        <v>268</v>
      </c>
      <c r="B269" s="17">
        <v>70.162640890000006</v>
      </c>
      <c r="C269" s="11"/>
      <c r="D269" s="11">
        <v>69.295002920000002</v>
      </c>
      <c r="E269" s="11">
        <f t="shared" si="9"/>
        <v>-0.66139600770007689</v>
      </c>
      <c r="F269">
        <f t="shared" si="8"/>
        <v>4.253574701332459E-2</v>
      </c>
    </row>
    <row r="270" spans="1:6">
      <c r="A270" s="7">
        <v>269</v>
      </c>
      <c r="B270" s="17">
        <v>68.938323670000003</v>
      </c>
      <c r="C270" s="11"/>
      <c r="D270" s="11">
        <v>70.162640890000006</v>
      </c>
      <c r="E270" s="11">
        <f t="shared" si="9"/>
        <v>0.2062419622999272</v>
      </c>
      <c r="F270">
        <f t="shared" si="8"/>
        <v>1.0364772303410761</v>
      </c>
    </row>
    <row r="271" spans="1:6">
      <c r="A271" s="7">
        <v>270</v>
      </c>
      <c r="B271" s="17">
        <v>70.179854860000006</v>
      </c>
      <c r="C271" s="11"/>
      <c r="D271" s="11">
        <v>68.938323670000003</v>
      </c>
      <c r="E271" s="11">
        <f t="shared" si="9"/>
        <v>-1.018075257700076</v>
      </c>
      <c r="F271">
        <f t="shared" si="8"/>
        <v>4.9932553680029752E-2</v>
      </c>
    </row>
    <row r="272" spans="1:6">
      <c r="A272" s="7">
        <v>271</v>
      </c>
      <c r="B272" s="17">
        <v>71.507791850000004</v>
      </c>
      <c r="C272" s="11"/>
      <c r="D272" s="11">
        <v>70.179854860000006</v>
      </c>
      <c r="E272" s="11">
        <f t="shared" si="9"/>
        <v>0.22345593229992744</v>
      </c>
      <c r="F272">
        <f t="shared" si="8"/>
        <v>2.4068199993623018</v>
      </c>
    </row>
    <row r="273" spans="1:6">
      <c r="A273" s="7">
        <v>272</v>
      </c>
      <c r="B273" s="17">
        <v>70.219342659999995</v>
      </c>
      <c r="C273" s="11"/>
      <c r="D273" s="11">
        <v>71.507791850000004</v>
      </c>
      <c r="E273" s="11">
        <f t="shared" si="9"/>
        <v>1.5513929222999252</v>
      </c>
      <c r="F273">
        <f t="shared" si="8"/>
        <v>6.9139406355810215E-2</v>
      </c>
    </row>
    <row r="274" spans="1:6">
      <c r="A274" s="7">
        <v>273</v>
      </c>
      <c r="B274" s="17">
        <v>69.437930249999994</v>
      </c>
      <c r="C274" s="11"/>
      <c r="D274" s="11">
        <v>70.219342659999995</v>
      </c>
      <c r="E274" s="11">
        <f t="shared" si="9"/>
        <v>0.26294373229991663</v>
      </c>
      <c r="F274">
        <f t="shared" si="8"/>
        <v>0.26880976975607446</v>
      </c>
    </row>
    <row r="275" spans="1:6">
      <c r="A275" s="7">
        <v>274</v>
      </c>
      <c r="B275" s="17">
        <v>68.718765009999998</v>
      </c>
      <c r="C275" s="11"/>
      <c r="D275" s="11">
        <v>69.437930249999994</v>
      </c>
      <c r="E275" s="11">
        <f t="shared" si="9"/>
        <v>-0.51846867770008487</v>
      </c>
      <c r="F275">
        <f t="shared" si="8"/>
        <v>1.5317377142416486</v>
      </c>
    </row>
    <row r="276" spans="1:6">
      <c r="A276" s="7">
        <v>275</v>
      </c>
      <c r="B276" s="17">
        <v>70.099260409999999</v>
      </c>
      <c r="C276" s="11"/>
      <c r="D276" s="11">
        <v>68.718765009999998</v>
      </c>
      <c r="E276" s="11">
        <f t="shared" si="9"/>
        <v>-1.2376339177000801</v>
      </c>
      <c r="F276">
        <f t="shared" si="8"/>
        <v>2.0409403124930583E-2</v>
      </c>
    </row>
    <row r="277" spans="1:6">
      <c r="A277" s="7">
        <v>276</v>
      </c>
      <c r="B277" s="17">
        <v>69.382704459999999</v>
      </c>
      <c r="C277" s="11"/>
      <c r="D277" s="11">
        <v>70.099260409999999</v>
      </c>
      <c r="E277" s="11">
        <f t="shared" si="9"/>
        <v>0.14286148229992079</v>
      </c>
      <c r="F277">
        <f t="shared" si="8"/>
        <v>0.32912534226967727</v>
      </c>
    </row>
    <row r="278" spans="1:6">
      <c r="A278" s="7">
        <v>277</v>
      </c>
      <c r="B278" s="17">
        <v>69.377367539999995</v>
      </c>
      <c r="C278" s="11"/>
      <c r="D278" s="11">
        <v>69.382704459999999</v>
      </c>
      <c r="E278" s="11">
        <f t="shared" si="9"/>
        <v>-0.57369446770007926</v>
      </c>
      <c r="F278">
        <f t="shared" si="8"/>
        <v>0.33527734794188513</v>
      </c>
    </row>
    <row r="279" spans="1:6">
      <c r="A279" s="7">
        <v>278</v>
      </c>
      <c r="B279" s="17">
        <v>68.952689280000001</v>
      </c>
      <c r="C279" s="11"/>
      <c r="D279" s="11">
        <v>69.377367539999995</v>
      </c>
      <c r="E279" s="11">
        <f t="shared" si="9"/>
        <v>-0.57903138770008411</v>
      </c>
      <c r="F279">
        <f t="shared" si="8"/>
        <v>1.0074330568862133</v>
      </c>
    </row>
    <row r="280" spans="1:6">
      <c r="A280" s="7">
        <v>279</v>
      </c>
      <c r="B280" s="17">
        <v>69.609357579999994</v>
      </c>
      <c r="C280" s="11"/>
      <c r="D280" s="11">
        <v>68.952689280000001</v>
      </c>
      <c r="E280" s="11">
        <f t="shared" si="9"/>
        <v>-1.0037096477000773</v>
      </c>
      <c r="F280">
        <f t="shared" si="8"/>
        <v>0.12043769701349105</v>
      </c>
    </row>
    <row r="281" spans="1:6">
      <c r="A281" s="7">
        <v>280</v>
      </c>
      <c r="B281" s="17">
        <v>68.285578490000006</v>
      </c>
      <c r="C281" s="11"/>
      <c r="D281" s="11">
        <v>69.609357579999994</v>
      </c>
      <c r="E281" s="11">
        <f t="shared" si="9"/>
        <v>-0.34704134770008466</v>
      </c>
      <c r="F281">
        <f t="shared" si="8"/>
        <v>2.7916409350362623</v>
      </c>
    </row>
    <row r="282" spans="1:6">
      <c r="A282" s="7">
        <v>281</v>
      </c>
      <c r="B282" s="17">
        <v>70.415001459999999</v>
      </c>
      <c r="C282" s="11"/>
      <c r="D282" s="11">
        <v>68.285578490000006</v>
      </c>
      <c r="E282" s="11">
        <f t="shared" si="9"/>
        <v>-1.6708204377000726</v>
      </c>
      <c r="F282">
        <f t="shared" si="8"/>
        <v>0.21031628263189966</v>
      </c>
    </row>
    <row r="283" spans="1:6">
      <c r="A283" s="7">
        <v>282</v>
      </c>
      <c r="B283" s="17">
        <v>69.79872091</v>
      </c>
      <c r="C283" s="11"/>
      <c r="D283" s="11">
        <v>70.415001459999999</v>
      </c>
      <c r="E283" s="11">
        <f t="shared" si="9"/>
        <v>0.45860253229992054</v>
      </c>
      <c r="F283">
        <f t="shared" si="8"/>
        <v>2.4862357265826269E-2</v>
      </c>
    </row>
    <row r="284" spans="1:6">
      <c r="A284" s="7">
        <v>283</v>
      </c>
      <c r="B284" s="17">
        <v>69.814626790000005</v>
      </c>
      <c r="C284" s="11"/>
      <c r="D284" s="11">
        <v>69.79872091</v>
      </c>
      <c r="E284" s="11">
        <f t="shared" si="9"/>
        <v>-0.1576780177000785</v>
      </c>
      <c r="F284">
        <f t="shared" si="8"/>
        <v>2.0099339028048498E-2</v>
      </c>
    </row>
    <row r="285" spans="1:6">
      <c r="A285" s="7">
        <v>284</v>
      </c>
      <c r="B285" s="17">
        <v>69.736636759999996</v>
      </c>
      <c r="C285" s="11"/>
      <c r="D285" s="11">
        <v>69.814626790000005</v>
      </c>
      <c r="E285" s="11">
        <f t="shared" si="9"/>
        <v>-0.14177213770007313</v>
      </c>
      <c r="F285">
        <f t="shared" si="8"/>
        <v>4.8295410352239186E-2</v>
      </c>
    </row>
    <row r="286" spans="1:6">
      <c r="A286" s="7">
        <v>285</v>
      </c>
      <c r="B286" s="17">
        <v>69.135479509999996</v>
      </c>
      <c r="C286" s="11"/>
      <c r="D286" s="11">
        <v>69.736636759999996</v>
      </c>
      <c r="E286" s="11">
        <f t="shared" si="9"/>
        <v>-0.2197621677000825</v>
      </c>
      <c r="F286">
        <f t="shared" si="8"/>
        <v>0.67390869035704248</v>
      </c>
    </row>
    <row r="287" spans="1:6">
      <c r="A287" s="7">
        <v>286</v>
      </c>
      <c r="B287" s="17">
        <v>68.672516540000004</v>
      </c>
      <c r="C287" s="11"/>
      <c r="D287" s="11">
        <v>69.135479509999996</v>
      </c>
      <c r="E287" s="11">
        <f t="shared" si="9"/>
        <v>-0.82091941770008248</v>
      </c>
      <c r="F287">
        <f t="shared" si="8"/>
        <v>1.6483539854464455</v>
      </c>
    </row>
    <row r="288" spans="1:6">
      <c r="A288" s="7">
        <v>287</v>
      </c>
      <c r="B288" s="17">
        <v>70.399264619999997</v>
      </c>
      <c r="C288" s="11"/>
      <c r="D288" s="11">
        <v>68.672516540000004</v>
      </c>
      <c r="E288" s="11">
        <f t="shared" si="9"/>
        <v>-1.2838823877000749</v>
      </c>
      <c r="F288">
        <f t="shared" si="8"/>
        <v>0.19613002141628577</v>
      </c>
    </row>
    <row r="289" spans="1:6">
      <c r="A289" s="7">
        <v>288</v>
      </c>
      <c r="B289" s="17">
        <v>70.112163210000006</v>
      </c>
      <c r="C289" s="11"/>
      <c r="D289" s="11">
        <v>70.399264619999997</v>
      </c>
      <c r="E289" s="11">
        <f t="shared" si="9"/>
        <v>0.44286569229991812</v>
      </c>
      <c r="F289">
        <f t="shared" si="8"/>
        <v>2.4262511640411353E-2</v>
      </c>
    </row>
    <row r="290" spans="1:6">
      <c r="A290" s="7">
        <v>289</v>
      </c>
      <c r="B290" s="17">
        <v>70.218688729999997</v>
      </c>
      <c r="C290" s="11"/>
      <c r="D290" s="11">
        <v>70.112163210000006</v>
      </c>
      <c r="E290" s="11">
        <f t="shared" si="9"/>
        <v>0.155764282299927</v>
      </c>
      <c r="F290">
        <f t="shared" si="8"/>
        <v>6.8795940390530094E-2</v>
      </c>
    </row>
    <row r="291" spans="1:6">
      <c r="A291" s="7">
        <v>290</v>
      </c>
      <c r="B291" s="17">
        <v>69.296067390000005</v>
      </c>
      <c r="C291" s="11"/>
      <c r="D291" s="11">
        <v>70.218688729999997</v>
      </c>
      <c r="E291" s="11">
        <f t="shared" si="9"/>
        <v>0.26228980229991805</v>
      </c>
      <c r="F291">
        <f t="shared" si="8"/>
        <v>0.43603773968134429</v>
      </c>
    </row>
    <row r="292" spans="1:6">
      <c r="A292" s="7">
        <v>291</v>
      </c>
      <c r="B292" s="17">
        <v>68.864852380000002</v>
      </c>
      <c r="C292" s="11"/>
      <c r="D292" s="11">
        <v>69.296067390000005</v>
      </c>
      <c r="E292" s="11">
        <f t="shared" si="9"/>
        <v>-0.66033153770007402</v>
      </c>
      <c r="F292">
        <f t="shared" si="8"/>
        <v>1.1914738657959554</v>
      </c>
    </row>
    <row r="293" spans="1:6">
      <c r="A293" s="7">
        <v>292</v>
      </c>
      <c r="B293" s="17">
        <v>70.002338359999996</v>
      </c>
      <c r="C293" s="11"/>
      <c r="D293" s="11">
        <v>68.864852380000002</v>
      </c>
      <c r="E293" s="11">
        <f t="shared" si="9"/>
        <v>-1.0915465477000765</v>
      </c>
      <c r="F293">
        <f t="shared" si="8"/>
        <v>2.1104314400386915E-3</v>
      </c>
    </row>
    <row r="294" spans="1:6">
      <c r="A294" s="7">
        <v>293</v>
      </c>
      <c r="B294" s="17">
        <v>71.2723558</v>
      </c>
      <c r="C294" s="11"/>
      <c r="D294" s="11">
        <v>70.002338359999996</v>
      </c>
      <c r="E294" s="11">
        <f t="shared" si="9"/>
        <v>4.5939432299917371E-2</v>
      </c>
      <c r="F294">
        <f t="shared" si="8"/>
        <v>1.7317424897533908</v>
      </c>
    </row>
    <row r="295" spans="1:6">
      <c r="A295" s="7">
        <v>294</v>
      </c>
      <c r="B295" s="17">
        <v>70.587395569999998</v>
      </c>
      <c r="C295" s="11"/>
      <c r="D295" s="11">
        <v>71.2723558</v>
      </c>
      <c r="E295" s="11">
        <f t="shared" si="9"/>
        <v>1.3159568722999211</v>
      </c>
      <c r="F295">
        <f t="shared" si="8"/>
        <v>0.39815676259377264</v>
      </c>
    </row>
    <row r="296" spans="1:6">
      <c r="A296" s="7">
        <v>295</v>
      </c>
      <c r="B296" s="17">
        <v>68.54881073</v>
      </c>
      <c r="C296" s="11"/>
      <c r="D296" s="11">
        <v>70.587395569999998</v>
      </c>
      <c r="E296" s="11">
        <f t="shared" si="9"/>
        <v>0.63099664229991959</v>
      </c>
      <c r="F296">
        <f t="shared" si="8"/>
        <v>1.9813045343045568</v>
      </c>
    </row>
    <row r="297" spans="1:6">
      <c r="A297" s="7">
        <v>296</v>
      </c>
      <c r="B297" s="17">
        <v>70.951023849999999</v>
      </c>
      <c r="C297" s="11"/>
      <c r="D297" s="11">
        <v>68.54881073</v>
      </c>
      <c r="E297" s="11">
        <f t="shared" si="9"/>
        <v>-1.407588197700079</v>
      </c>
      <c r="F297">
        <f t="shared" si="8"/>
        <v>0.98927873606012173</v>
      </c>
    </row>
    <row r="298" spans="1:6">
      <c r="A298" s="7">
        <v>297</v>
      </c>
      <c r="B298" s="17">
        <v>70.149421779999997</v>
      </c>
      <c r="C298" s="11"/>
      <c r="D298" s="11">
        <v>70.951023849999999</v>
      </c>
      <c r="E298" s="11">
        <f t="shared" si="9"/>
        <v>0.99462492229991994</v>
      </c>
      <c r="F298">
        <f t="shared" si="8"/>
        <v>3.7257821509996215E-2</v>
      </c>
    </row>
    <row r="299" spans="1:6">
      <c r="A299" s="7">
        <v>298</v>
      </c>
      <c r="B299" s="17">
        <v>68.262758509999998</v>
      </c>
      <c r="C299" s="11"/>
      <c r="D299" s="11">
        <v>70.149421779999997</v>
      </c>
      <c r="E299" s="11">
        <f t="shared" si="9"/>
        <v>0.19302285229991867</v>
      </c>
      <c r="F299">
        <f t="shared" si="8"/>
        <v>2.8684178644673048</v>
      </c>
    </row>
    <row r="300" spans="1:6">
      <c r="A300" s="7">
        <v>299</v>
      </c>
      <c r="B300" s="17">
        <v>71.507253160000005</v>
      </c>
      <c r="C300" s="11"/>
      <c r="D300" s="11">
        <v>68.262758509999998</v>
      </c>
      <c r="E300" s="11">
        <f t="shared" si="9"/>
        <v>-1.693640417700081</v>
      </c>
      <c r="F300">
        <f t="shared" si="8"/>
        <v>2.4051488498425933</v>
      </c>
    </row>
    <row r="301" spans="1:6">
      <c r="A301" s="7">
        <v>300</v>
      </c>
      <c r="B301" s="17">
        <v>71.021492050000006</v>
      </c>
      <c r="C301" s="11"/>
      <c r="D301" s="11">
        <v>71.507253160000005</v>
      </c>
      <c r="E301" s="11">
        <f t="shared" si="9"/>
        <v>1.5508542322999261</v>
      </c>
      <c r="F301">
        <f t="shared" si="8"/>
        <v>1.1344233591706085</v>
      </c>
    </row>
    <row r="302" spans="1:6">
      <c r="A302" s="7">
        <v>301</v>
      </c>
      <c r="B302" s="17">
        <v>68.698986590000004</v>
      </c>
      <c r="C302" s="11"/>
      <c r="D302" s="11">
        <v>71.021492050000006</v>
      </c>
      <c r="E302" s="11">
        <f t="shared" si="9"/>
        <v>1.0650931222999276</v>
      </c>
      <c r="F302">
        <f t="shared" si="8"/>
        <v>1.5810857870003663</v>
      </c>
    </row>
    <row r="303" spans="1:6">
      <c r="A303" s="7">
        <v>302</v>
      </c>
      <c r="B303" s="17">
        <v>68.229504570000003</v>
      </c>
      <c r="C303" s="11"/>
      <c r="D303" s="11">
        <v>68.698986590000004</v>
      </c>
      <c r="E303" s="11">
        <f t="shared" si="9"/>
        <v>-1.2574123377000745</v>
      </c>
      <c r="F303">
        <f t="shared" si="8"/>
        <v>2.9821641226563562</v>
      </c>
    </row>
    <row r="304" spans="1:6">
      <c r="A304" s="7">
        <v>303</v>
      </c>
      <c r="B304" s="17">
        <v>69.695551660000007</v>
      </c>
      <c r="C304" s="11"/>
      <c r="D304" s="11">
        <v>68.229504570000003</v>
      </c>
      <c r="E304" s="11">
        <f t="shared" si="9"/>
        <v>-1.7268943577000755</v>
      </c>
      <c r="F304">
        <f t="shared" si="8"/>
        <v>6.8041297066592996E-2</v>
      </c>
    </row>
    <row r="305" spans="1:6">
      <c r="A305" s="7">
        <v>304</v>
      </c>
      <c r="B305" s="17">
        <v>70.538791180000004</v>
      </c>
      <c r="C305" s="11"/>
      <c r="D305" s="11">
        <v>69.695551660000007</v>
      </c>
      <c r="E305" s="11">
        <f t="shared" si="9"/>
        <v>-0.26084726770007194</v>
      </c>
      <c r="F305">
        <f t="shared" si="8"/>
        <v>0.33918073553897998</v>
      </c>
    </row>
    <row r="306" spans="1:6">
      <c r="A306" s="7">
        <v>305</v>
      </c>
      <c r="B306" s="17">
        <v>69.562880010000001</v>
      </c>
      <c r="C306" s="11"/>
      <c r="D306" s="11">
        <v>70.538791180000004</v>
      </c>
      <c r="E306" s="11">
        <f t="shared" si="9"/>
        <v>0.58239225229992542</v>
      </c>
      <c r="F306">
        <f t="shared" si="8"/>
        <v>0.15485713858784073</v>
      </c>
    </row>
    <row r="307" spans="1:6">
      <c r="A307" s="7">
        <v>306</v>
      </c>
      <c r="B307" s="17">
        <v>71.398814250000001</v>
      </c>
      <c r="C307" s="11"/>
      <c r="D307" s="11">
        <v>69.562880010000001</v>
      </c>
      <c r="E307" s="11">
        <f t="shared" si="9"/>
        <v>-0.39351891770007796</v>
      </c>
      <c r="F307">
        <f t="shared" si="8"/>
        <v>2.0805619620055888</v>
      </c>
    </row>
    <row r="308" spans="1:6">
      <c r="A308" s="7">
        <v>307</v>
      </c>
      <c r="B308" s="17">
        <v>70.448844870000002</v>
      </c>
      <c r="C308" s="11"/>
      <c r="D308" s="11">
        <v>71.398814250000001</v>
      </c>
      <c r="E308" s="11">
        <f t="shared" si="9"/>
        <v>1.4424153222999223</v>
      </c>
      <c r="F308">
        <f t="shared" si="8"/>
        <v>0.24250300608765954</v>
      </c>
    </row>
    <row r="309" spans="1:6">
      <c r="A309" s="7">
        <v>308</v>
      </c>
      <c r="B309" s="17">
        <v>68.664976060000001</v>
      </c>
      <c r="C309" s="11"/>
      <c r="D309" s="11">
        <v>70.448844870000002</v>
      </c>
      <c r="E309" s="11">
        <f t="shared" si="9"/>
        <v>0.49244594229992344</v>
      </c>
      <c r="F309">
        <f t="shared" si="8"/>
        <v>1.6677730232186927</v>
      </c>
    </row>
    <row r="310" spans="1:6">
      <c r="A310" s="7">
        <v>309</v>
      </c>
      <c r="B310" s="17">
        <v>70.025025569999997</v>
      </c>
      <c r="C310" s="11"/>
      <c r="D310" s="11">
        <v>68.664976060000001</v>
      </c>
      <c r="E310" s="11">
        <f t="shared" si="9"/>
        <v>-1.2914228677000779</v>
      </c>
      <c r="F310">
        <f t="shared" si="8"/>
        <v>4.7096160333609241E-3</v>
      </c>
    </row>
    <row r="311" spans="1:6">
      <c r="A311" s="7">
        <v>310</v>
      </c>
      <c r="B311" s="17">
        <v>71.744585369999996</v>
      </c>
      <c r="C311" s="11"/>
      <c r="D311" s="11">
        <v>70.025025569999997</v>
      </c>
      <c r="E311" s="11">
        <f t="shared" si="9"/>
        <v>6.8626642299918217E-2</v>
      </c>
      <c r="F311">
        <f t="shared" si="8"/>
        <v>3.1976107524252351</v>
      </c>
    </row>
    <row r="312" spans="1:6">
      <c r="A312" s="7">
        <v>311</v>
      </c>
      <c r="B312" s="17">
        <v>70.221750450000002</v>
      </c>
      <c r="C312" s="11"/>
      <c r="D312" s="11">
        <v>71.744585369999996</v>
      </c>
      <c r="E312" s="11">
        <f t="shared" si="9"/>
        <v>1.7881864422999172</v>
      </c>
      <c r="F312">
        <f t="shared" si="8"/>
        <v>7.0411430386886645E-2</v>
      </c>
    </row>
    <row r="313" spans="1:6">
      <c r="A313" s="7">
        <v>312</v>
      </c>
      <c r="B313" s="17">
        <v>68.208327370000006</v>
      </c>
      <c r="C313" s="11"/>
      <c r="D313" s="11">
        <v>70.221750450000002</v>
      </c>
      <c r="E313" s="11">
        <f t="shared" si="9"/>
        <v>0.2653515222999232</v>
      </c>
      <c r="F313">
        <f t="shared" si="8"/>
        <v>3.0557541708399572</v>
      </c>
    </row>
    <row r="314" spans="1:6">
      <c r="A314" s="7">
        <v>313</v>
      </c>
      <c r="B314" s="17">
        <v>69.888909549999994</v>
      </c>
      <c r="C314" s="11"/>
      <c r="D314" s="11">
        <v>68.208327370000006</v>
      </c>
      <c r="E314" s="11">
        <f t="shared" si="9"/>
        <v>-1.7480715577000723</v>
      </c>
      <c r="F314">
        <f t="shared" si="8"/>
        <v>4.5548161023446863E-3</v>
      </c>
    </row>
    <row r="315" spans="1:6">
      <c r="A315" s="7">
        <v>314</v>
      </c>
      <c r="B315" s="17">
        <v>68.42352391</v>
      </c>
      <c r="C315" s="11"/>
      <c r="D315" s="11">
        <v>69.888909549999994</v>
      </c>
      <c r="E315" s="11">
        <f t="shared" si="9"/>
        <v>-6.7489377700084674E-2</v>
      </c>
      <c r="F315">
        <f t="shared" si="8"/>
        <v>2.3497058198890159</v>
      </c>
    </row>
    <row r="316" spans="1:6">
      <c r="A316" s="7">
        <v>315</v>
      </c>
      <c r="B316" s="17">
        <v>67.860819820000003</v>
      </c>
      <c r="C316" s="11"/>
      <c r="D316" s="11">
        <v>68.42352391</v>
      </c>
      <c r="E316" s="11">
        <f t="shared" si="9"/>
        <v>-1.5328750177000785</v>
      </c>
      <c r="F316">
        <f t="shared" si="8"/>
        <v>4.3914517966290445</v>
      </c>
    </row>
    <row r="317" spans="1:6">
      <c r="A317" s="7">
        <v>316</v>
      </c>
      <c r="B317" s="17">
        <v>70.156880869999995</v>
      </c>
      <c r="C317" s="11"/>
      <c r="D317" s="11">
        <v>67.860819820000003</v>
      </c>
      <c r="E317" s="11">
        <f t="shared" si="9"/>
        <v>-2.0955791077000754</v>
      </c>
      <c r="F317">
        <f t="shared" si="8"/>
        <v>4.0193009188346937E-2</v>
      </c>
    </row>
    <row r="318" spans="1:6">
      <c r="A318" s="7">
        <v>317</v>
      </c>
      <c r="B318" s="17">
        <v>70.68053003</v>
      </c>
      <c r="C318" s="11"/>
      <c r="D318" s="11">
        <v>70.156880869999995</v>
      </c>
      <c r="E318" s="11">
        <f t="shared" si="9"/>
        <v>0.20048194229991623</v>
      </c>
      <c r="F318">
        <f t="shared" si="8"/>
        <v>0.52436585331809904</v>
      </c>
    </row>
    <row r="319" spans="1:6">
      <c r="A319" s="7">
        <v>318</v>
      </c>
      <c r="B319" s="17">
        <v>70.097316410000005</v>
      </c>
      <c r="C319" s="11"/>
      <c r="D319" s="11">
        <v>70.68053003</v>
      </c>
      <c r="E319" s="11">
        <f t="shared" si="9"/>
        <v>0.72413110229992128</v>
      </c>
      <c r="F319">
        <f t="shared" si="8"/>
        <v>1.9857736817750007E-2</v>
      </c>
    </row>
    <row r="320" spans="1:6">
      <c r="A320" s="7">
        <v>319</v>
      </c>
      <c r="B320" s="17">
        <v>70.207047439999997</v>
      </c>
      <c r="C320" s="11"/>
      <c r="D320" s="11">
        <v>70.097316410000005</v>
      </c>
      <c r="E320" s="11">
        <f t="shared" si="9"/>
        <v>0.14091748229992618</v>
      </c>
      <c r="F320">
        <f t="shared" si="8"/>
        <v>6.2824676718162151E-2</v>
      </c>
    </row>
    <row r="321" spans="1:6">
      <c r="A321" s="7">
        <v>320</v>
      </c>
      <c r="B321" s="17">
        <v>69.942259120000003</v>
      </c>
      <c r="C321" s="11"/>
      <c r="D321" s="11">
        <v>70.207047439999997</v>
      </c>
      <c r="E321" s="11">
        <f t="shared" si="9"/>
        <v>0.25064851229991802</v>
      </c>
      <c r="F321">
        <f t="shared" si="8"/>
        <v>1.9993416179512388E-4</v>
      </c>
    </row>
    <row r="322" spans="1:6">
      <c r="A322" s="7">
        <v>321</v>
      </c>
      <c r="B322" s="17">
        <v>68.604554519999994</v>
      </c>
      <c r="C322" s="11"/>
      <c r="D322" s="11">
        <v>69.942259120000003</v>
      </c>
      <c r="E322" s="11">
        <f t="shared" si="9"/>
        <v>-1.4139807700075835E-2</v>
      </c>
      <c r="F322">
        <f t="shared" ref="F322:F385" si="10">(B322-$C$2)^2</f>
        <v>1.8274833026299939</v>
      </c>
    </row>
    <row r="323" spans="1:6">
      <c r="A323" s="7">
        <v>322</v>
      </c>
      <c r="B323" s="17">
        <v>70.45613032</v>
      </c>
      <c r="C323" s="11"/>
      <c r="D323" s="11">
        <v>68.604554519999994</v>
      </c>
      <c r="E323" s="11">
        <f t="shared" ref="E323:E386" si="11">D323-$C$2</f>
        <v>-1.3518444077000851</v>
      </c>
      <c r="F323">
        <f t="shared" si="10"/>
        <v>0.24973146445001768</v>
      </c>
    </row>
    <row r="324" spans="1:6">
      <c r="A324" s="7">
        <v>323</v>
      </c>
      <c r="B324" s="17">
        <v>72.017325889999995</v>
      </c>
      <c r="C324" s="11"/>
      <c r="D324" s="11">
        <v>70.45613032</v>
      </c>
      <c r="E324" s="11">
        <f t="shared" si="11"/>
        <v>0.49973139229992114</v>
      </c>
      <c r="F324">
        <f t="shared" si="10"/>
        <v>4.2474199439347613</v>
      </c>
    </row>
    <row r="325" spans="1:6">
      <c r="A325" s="7">
        <v>324</v>
      </c>
      <c r="B325" s="17">
        <v>71.278889000000007</v>
      </c>
      <c r="C325" s="11"/>
      <c r="D325" s="11">
        <v>72.017325889999995</v>
      </c>
      <c r="E325" s="11">
        <f t="shared" si="11"/>
        <v>2.0609269622999165</v>
      </c>
      <c r="F325">
        <f t="shared" si="10"/>
        <v>1.7489799913318687</v>
      </c>
    </row>
    <row r="326" spans="1:6">
      <c r="A326" s="7">
        <v>325</v>
      </c>
      <c r="B326" s="17">
        <v>70.207269650000001</v>
      </c>
      <c r="C326" s="11"/>
      <c r="D326" s="11">
        <v>71.278889000000007</v>
      </c>
      <c r="E326" s="11">
        <f t="shared" si="11"/>
        <v>1.322490072299928</v>
      </c>
      <c r="F326">
        <f t="shared" si="10"/>
        <v>6.2936119307284599E-2</v>
      </c>
    </row>
    <row r="327" spans="1:6">
      <c r="A327" s="7">
        <v>326</v>
      </c>
      <c r="B327" s="17">
        <v>72.080319900000006</v>
      </c>
      <c r="C327" s="11"/>
      <c r="D327" s="11">
        <v>70.207269650000001</v>
      </c>
      <c r="E327" s="11">
        <f t="shared" si="11"/>
        <v>0.25087072229992202</v>
      </c>
      <c r="F327">
        <f t="shared" si="10"/>
        <v>4.5110402965754703</v>
      </c>
    </row>
    <row r="328" spans="1:6">
      <c r="A328" s="7">
        <v>327</v>
      </c>
      <c r="B328" s="17">
        <v>70.909578199999999</v>
      </c>
      <c r="C328" s="11"/>
      <c r="D328" s="11">
        <v>72.080319900000006</v>
      </c>
      <c r="E328" s="11">
        <f t="shared" si="11"/>
        <v>2.1239209722999277</v>
      </c>
      <c r="F328">
        <f t="shared" si="10"/>
        <v>0.90855072514220492</v>
      </c>
    </row>
    <row r="329" spans="1:6">
      <c r="A329" s="7">
        <v>328</v>
      </c>
      <c r="B329" s="17">
        <v>69.662073969999994</v>
      </c>
      <c r="C329" s="11"/>
      <c r="D329" s="11">
        <v>70.909578199999999</v>
      </c>
      <c r="E329" s="11">
        <f t="shared" si="11"/>
        <v>0.95317927229991994</v>
      </c>
      <c r="F329">
        <f t="shared" si="10"/>
        <v>8.6627180725156322E-2</v>
      </c>
    </row>
    <row r="330" spans="1:6">
      <c r="A330" s="7">
        <v>329</v>
      </c>
      <c r="B330" s="17">
        <v>69.888852170000007</v>
      </c>
      <c r="C330" s="11"/>
      <c r="D330" s="11">
        <v>69.662073969999994</v>
      </c>
      <c r="E330" s="11">
        <f t="shared" si="11"/>
        <v>-0.29432495770008416</v>
      </c>
      <c r="F330">
        <f t="shared" si="10"/>
        <v>4.5625644757921928E-3</v>
      </c>
    </row>
    <row r="331" spans="1:6">
      <c r="A331" s="7">
        <v>330</v>
      </c>
      <c r="B331" s="17">
        <v>71.50601107</v>
      </c>
      <c r="C331" s="11"/>
      <c r="D331" s="11">
        <v>69.888852170000007</v>
      </c>
      <c r="E331" s="11">
        <f t="shared" si="11"/>
        <v>-6.754675770007168E-2</v>
      </c>
      <c r="F331">
        <f t="shared" si="10"/>
        <v>2.4012977915633504</v>
      </c>
    </row>
    <row r="332" spans="1:6">
      <c r="A332" s="7">
        <v>331</v>
      </c>
      <c r="B332" s="17">
        <v>72.529721739999999</v>
      </c>
      <c r="C332" s="11"/>
      <c r="D332" s="11">
        <v>71.50601107</v>
      </c>
      <c r="E332" s="11">
        <f t="shared" si="11"/>
        <v>1.5496121422999209</v>
      </c>
      <c r="F332">
        <f t="shared" si="10"/>
        <v>6.6219902963031734</v>
      </c>
    </row>
    <row r="333" spans="1:6">
      <c r="A333" s="7">
        <v>332</v>
      </c>
      <c r="B333" s="17">
        <v>70.80745709</v>
      </c>
      <c r="C333" s="11"/>
      <c r="D333" s="11">
        <v>72.529721739999999</v>
      </c>
      <c r="E333" s="11">
        <f t="shared" si="11"/>
        <v>2.5733228122999208</v>
      </c>
      <c r="F333">
        <f t="shared" si="10"/>
        <v>0.72429999561731895</v>
      </c>
    </row>
    <row r="334" spans="1:6">
      <c r="A334" s="7">
        <v>333</v>
      </c>
      <c r="B334" s="17">
        <v>70.03388898</v>
      </c>
      <c r="C334" s="11"/>
      <c r="D334" s="11">
        <v>70.80745709</v>
      </c>
      <c r="E334" s="11">
        <f t="shared" si="11"/>
        <v>0.85105816229992115</v>
      </c>
      <c r="F334">
        <f t="shared" si="10"/>
        <v>6.0047082054446137E-3</v>
      </c>
    </row>
    <row r="335" spans="1:6">
      <c r="A335" s="7">
        <v>334</v>
      </c>
      <c r="B335" s="17">
        <v>68.400012790000005</v>
      </c>
      <c r="C335" s="11"/>
      <c r="D335" s="11">
        <v>70.03388898</v>
      </c>
      <c r="E335" s="11">
        <f t="shared" si="11"/>
        <v>7.7490052299921786E-2</v>
      </c>
      <c r="F335">
        <f t="shared" si="10"/>
        <v>2.4223378096249517</v>
      </c>
    </row>
    <row r="336" spans="1:6">
      <c r="A336" s="7">
        <v>335</v>
      </c>
      <c r="B336" s="17">
        <v>68.71786487</v>
      </c>
      <c r="C336" s="11"/>
      <c r="D336" s="11">
        <v>68.400012790000005</v>
      </c>
      <c r="E336" s="11">
        <f t="shared" si="11"/>
        <v>-1.5563861377000734</v>
      </c>
      <c r="F336">
        <f t="shared" si="10"/>
        <v>1.5339666120830224</v>
      </c>
    </row>
    <row r="337" spans="1:6">
      <c r="A337" s="7">
        <v>336</v>
      </c>
      <c r="B337" s="17">
        <v>68.870424689999993</v>
      </c>
      <c r="C337" s="11"/>
      <c r="D337" s="11">
        <v>68.71786487</v>
      </c>
      <c r="E337" s="11">
        <f t="shared" si="11"/>
        <v>-1.238534057700079</v>
      </c>
      <c r="F337">
        <f t="shared" si="10"/>
        <v>1.179340044948282</v>
      </c>
    </row>
    <row r="338" spans="1:6">
      <c r="A338" s="7">
        <v>337</v>
      </c>
      <c r="B338" s="17">
        <v>68.700063599999993</v>
      </c>
      <c r="C338" s="11"/>
      <c r="D338" s="11">
        <v>68.870424689999993</v>
      </c>
      <c r="E338" s="11">
        <f t="shared" si="11"/>
        <v>-1.0859742377000856</v>
      </c>
      <c r="F338">
        <f t="shared" si="10"/>
        <v>1.5783784556272817</v>
      </c>
    </row>
    <row r="339" spans="1:6">
      <c r="A339" s="7">
        <v>338</v>
      </c>
      <c r="B339" s="17">
        <v>71.240487470000005</v>
      </c>
      <c r="C339" s="11"/>
      <c r="D339" s="11">
        <v>68.700063599999993</v>
      </c>
      <c r="E339" s="11">
        <f t="shared" si="11"/>
        <v>-1.2563353277000857</v>
      </c>
      <c r="F339">
        <f t="shared" si="10"/>
        <v>1.6488833844659498</v>
      </c>
    </row>
    <row r="340" spans="1:6">
      <c r="A340" s="7">
        <v>339</v>
      </c>
      <c r="B340" s="17">
        <v>70.341986739999996</v>
      </c>
      <c r="C340" s="11"/>
      <c r="D340" s="11">
        <v>71.240487470000005</v>
      </c>
      <c r="E340" s="11">
        <f t="shared" si="11"/>
        <v>1.2840885422999264</v>
      </c>
      <c r="F340">
        <f t="shared" si="10"/>
        <v>0.14867796099423619</v>
      </c>
    </row>
    <row r="341" spans="1:6">
      <c r="A341" s="7">
        <v>340</v>
      </c>
      <c r="B341" s="17">
        <v>69.301439900000005</v>
      </c>
      <c r="C341" s="11"/>
      <c r="D341" s="11">
        <v>70.341986739999996</v>
      </c>
      <c r="E341" s="11">
        <f t="shared" si="11"/>
        <v>0.38558781229991723</v>
      </c>
      <c r="F341">
        <f t="shared" si="10"/>
        <v>0.42897132796582527</v>
      </c>
    </row>
    <row r="342" spans="1:6">
      <c r="A342" s="7">
        <v>341</v>
      </c>
      <c r="B342" s="17">
        <v>69.844116700000001</v>
      </c>
      <c r="C342" s="11"/>
      <c r="D342" s="11">
        <v>69.301439900000005</v>
      </c>
      <c r="E342" s="11">
        <f t="shared" si="11"/>
        <v>-0.65495902770007319</v>
      </c>
      <c r="F342">
        <f t="shared" si="10"/>
        <v>1.260729865729214E-2</v>
      </c>
    </row>
    <row r="343" spans="1:6">
      <c r="A343" s="7">
        <v>342</v>
      </c>
      <c r="B343" s="17">
        <v>71.413863320000004</v>
      </c>
      <c r="C343" s="11"/>
      <c r="D343" s="11">
        <v>69.844116700000001</v>
      </c>
      <c r="E343" s="11">
        <f t="shared" si="11"/>
        <v>-0.1122822277000779</v>
      </c>
      <c r="F343">
        <f t="shared" si="10"/>
        <v>2.1242024548221918</v>
      </c>
    </row>
    <row r="344" spans="1:6">
      <c r="A344" s="7">
        <v>343</v>
      </c>
      <c r="B344" s="17">
        <v>71.376198110000004</v>
      </c>
      <c r="C344" s="11"/>
      <c r="D344" s="11">
        <v>71.413863320000004</v>
      </c>
      <c r="E344" s="11">
        <f t="shared" si="11"/>
        <v>1.4574643922999257</v>
      </c>
      <c r="F344">
        <f t="shared" si="10"/>
        <v>2.0158297180595373</v>
      </c>
    </row>
    <row r="345" spans="1:6">
      <c r="A345" s="7">
        <v>344</v>
      </c>
      <c r="B345" s="17">
        <v>73.160914980000001</v>
      </c>
      <c r="C345" s="11"/>
      <c r="D345" s="11">
        <v>71.376198110000004</v>
      </c>
      <c r="E345" s="11">
        <f t="shared" si="11"/>
        <v>1.4197991822999256</v>
      </c>
      <c r="F345">
        <f t="shared" si="10"/>
        <v>10.268923129447879</v>
      </c>
    </row>
    <row r="346" spans="1:6">
      <c r="A346" s="7">
        <v>345</v>
      </c>
      <c r="B346" s="17">
        <v>71.409021580000001</v>
      </c>
      <c r="C346" s="11"/>
      <c r="D346" s="11">
        <v>73.160914980000001</v>
      </c>
      <c r="E346" s="11">
        <f t="shared" si="11"/>
        <v>3.2045160522999225</v>
      </c>
      <c r="F346">
        <f t="shared" si="10"/>
        <v>2.1101125699748611</v>
      </c>
    </row>
    <row r="347" spans="1:6">
      <c r="A347" s="7">
        <v>346</v>
      </c>
      <c r="B347" s="17">
        <v>70.155854890000001</v>
      </c>
      <c r="C347" s="11"/>
      <c r="D347" s="11">
        <v>71.409021580000001</v>
      </c>
      <c r="E347" s="11">
        <f t="shared" si="11"/>
        <v>1.4526226522999224</v>
      </c>
      <c r="F347">
        <f t="shared" si="10"/>
        <v>3.9782680896987867E-2</v>
      </c>
    </row>
    <row r="348" spans="1:6">
      <c r="A348" s="7">
        <v>347</v>
      </c>
      <c r="B348" s="17">
        <v>69.946407140000005</v>
      </c>
      <c r="C348" s="11"/>
      <c r="D348" s="11">
        <v>70.155854890000001</v>
      </c>
      <c r="E348" s="11">
        <f t="shared" si="11"/>
        <v>0.19945596229992191</v>
      </c>
      <c r="F348">
        <f t="shared" si="10"/>
        <v>9.9835821443339546E-5</v>
      </c>
    </row>
    <row r="349" spans="1:6">
      <c r="A349" s="7">
        <v>348</v>
      </c>
      <c r="B349" s="17">
        <v>71.356137200000006</v>
      </c>
      <c r="C349" s="11"/>
      <c r="D349" s="11">
        <v>69.946407140000005</v>
      </c>
      <c r="E349" s="11">
        <f t="shared" si="11"/>
        <v>-9.9917877000734734E-3</v>
      </c>
      <c r="F349">
        <f t="shared" si="10"/>
        <v>1.9592672309411865</v>
      </c>
    </row>
    <row r="350" spans="1:6">
      <c r="A350" s="7">
        <v>349</v>
      </c>
      <c r="B350" s="17">
        <v>71.336999129999995</v>
      </c>
      <c r="C350" s="11"/>
      <c r="D350" s="11">
        <v>71.356137200000006</v>
      </c>
      <c r="E350" s="11">
        <f t="shared" si="11"/>
        <v>1.3997382722999276</v>
      </c>
      <c r="F350">
        <f t="shared" si="10"/>
        <v>1.9060569185905707</v>
      </c>
    </row>
    <row r="351" spans="1:6">
      <c r="A351" s="7">
        <v>350</v>
      </c>
      <c r="B351" s="17">
        <v>70.279128619999994</v>
      </c>
      <c r="C351" s="11"/>
      <c r="D351" s="11">
        <v>71.336999129999995</v>
      </c>
      <c r="E351" s="11">
        <f t="shared" si="11"/>
        <v>1.3806002022999166</v>
      </c>
      <c r="F351">
        <f t="shared" si="10"/>
        <v>0.10415445429199839</v>
      </c>
    </row>
    <row r="352" spans="1:6">
      <c r="A352" s="7">
        <v>351</v>
      </c>
      <c r="B352" s="17">
        <v>68.81888884</v>
      </c>
      <c r="C352" s="11"/>
      <c r="D352" s="11">
        <v>70.279128619999994</v>
      </c>
      <c r="E352" s="11">
        <f t="shared" si="11"/>
        <v>0.32272969229991588</v>
      </c>
      <c r="F352">
        <f t="shared" si="10"/>
        <v>1.2939291996194413</v>
      </c>
    </row>
    <row r="353" spans="1:6">
      <c r="A353" s="7">
        <v>352</v>
      </c>
      <c r="B353" s="17">
        <v>69.452038169999994</v>
      </c>
      <c r="C353" s="11"/>
      <c r="D353" s="11">
        <v>68.81888884</v>
      </c>
      <c r="E353" s="11">
        <f t="shared" si="11"/>
        <v>-1.137510087700079</v>
      </c>
      <c r="F353">
        <f t="shared" si="10"/>
        <v>0.25437977390780298</v>
      </c>
    </row>
    <row r="354" spans="1:6">
      <c r="A354" s="7">
        <v>353</v>
      </c>
      <c r="B354" s="17">
        <v>71.426901079999993</v>
      </c>
      <c r="C354" s="11"/>
      <c r="D354" s="11">
        <v>69.452038169999994</v>
      </c>
      <c r="E354" s="11">
        <f t="shared" si="11"/>
        <v>-0.50436075770008415</v>
      </c>
      <c r="F354">
        <f t="shared" si="10"/>
        <v>2.1623765799186816</v>
      </c>
    </row>
    <row r="355" spans="1:6">
      <c r="A355" s="7">
        <v>354</v>
      </c>
      <c r="B355" s="17">
        <v>70.610147400000002</v>
      </c>
      <c r="C355" s="11"/>
      <c r="D355" s="11">
        <v>71.426901079999993</v>
      </c>
      <c r="E355" s="11">
        <f t="shared" si="11"/>
        <v>1.4705021522999147</v>
      </c>
      <c r="F355">
        <f t="shared" si="10"/>
        <v>0.42738706503448426</v>
      </c>
    </row>
    <row r="356" spans="1:6">
      <c r="A356" s="7">
        <v>355</v>
      </c>
      <c r="B356" s="17">
        <v>70.466961740000002</v>
      </c>
      <c r="C356" s="11"/>
      <c r="D356" s="11">
        <v>70.610147400000002</v>
      </c>
      <c r="E356" s="11">
        <f t="shared" si="11"/>
        <v>0.65374847229992383</v>
      </c>
      <c r="F356">
        <f t="shared" si="10"/>
        <v>0.26067438530360693</v>
      </c>
    </row>
    <row r="357" spans="1:6">
      <c r="A357" s="7">
        <v>356</v>
      </c>
      <c r="B357" s="17">
        <v>70.343280609999994</v>
      </c>
      <c r="C357" s="11"/>
      <c r="D357" s="11">
        <v>70.466961740000002</v>
      </c>
      <c r="E357" s="11">
        <f t="shared" si="11"/>
        <v>0.51056281229992351</v>
      </c>
      <c r="F357">
        <f t="shared" si="10"/>
        <v>0.14967743609921239</v>
      </c>
    </row>
    <row r="358" spans="1:6">
      <c r="A358" s="7">
        <v>357</v>
      </c>
      <c r="B358" s="17">
        <v>70.929399500000002</v>
      </c>
      <c r="C358" s="11"/>
      <c r="D358" s="11">
        <v>70.343280609999994</v>
      </c>
      <c r="E358" s="11">
        <f t="shared" si="11"/>
        <v>0.38688168229991504</v>
      </c>
      <c r="F358">
        <f t="shared" si="10"/>
        <v>0.94673011369597915</v>
      </c>
    </row>
    <row r="359" spans="1:6">
      <c r="A359" s="7">
        <v>358</v>
      </c>
      <c r="B359" s="17">
        <v>69.649901779999993</v>
      </c>
      <c r="C359" s="11"/>
      <c r="D359" s="11">
        <v>70.929399500000002</v>
      </c>
      <c r="E359" s="11">
        <f t="shared" si="11"/>
        <v>0.97300057229992376</v>
      </c>
      <c r="F359">
        <f t="shared" si="10"/>
        <v>9.3940501548287897E-2</v>
      </c>
    </row>
    <row r="360" spans="1:6">
      <c r="A360" s="7">
        <v>359</v>
      </c>
      <c r="B360" s="17">
        <v>71.857768250000007</v>
      </c>
      <c r="C360" s="11"/>
      <c r="D360" s="11">
        <v>69.649901779999993</v>
      </c>
      <c r="E360" s="11">
        <f t="shared" si="11"/>
        <v>-0.30649714770008529</v>
      </c>
      <c r="F360">
        <f t="shared" si="10"/>
        <v>3.6152052997832871</v>
      </c>
    </row>
    <row r="361" spans="1:6">
      <c r="A361" s="7">
        <v>360</v>
      </c>
      <c r="B361" s="17">
        <v>69.940529310000002</v>
      </c>
      <c r="C361" s="11"/>
      <c r="D361" s="11">
        <v>71.857768250000007</v>
      </c>
      <c r="E361" s="11">
        <f t="shared" si="11"/>
        <v>1.9013693222999279</v>
      </c>
      <c r="F361">
        <f t="shared" si="10"/>
        <v>2.5184476594657606E-4</v>
      </c>
    </row>
    <row r="362" spans="1:6">
      <c r="A362" s="7">
        <v>361</v>
      </c>
      <c r="B362" s="17">
        <v>69.041436020000006</v>
      </c>
      <c r="C362" s="11"/>
      <c r="D362" s="11">
        <v>69.940529310000002</v>
      </c>
      <c r="E362" s="11">
        <f t="shared" si="11"/>
        <v>-1.5869617700076333E-2</v>
      </c>
      <c r="F362">
        <f t="shared" si="10"/>
        <v>0.83715712246697138</v>
      </c>
    </row>
    <row r="363" spans="1:6">
      <c r="A363" s="7">
        <v>362</v>
      </c>
      <c r="B363" s="17">
        <v>70.380795359999993</v>
      </c>
      <c r="C363" s="11"/>
      <c r="D363" s="11">
        <v>69.041436020000006</v>
      </c>
      <c r="E363" s="11">
        <f t="shared" si="11"/>
        <v>-0.91496290770007249</v>
      </c>
      <c r="F363">
        <f t="shared" si="10"/>
        <v>0.18011233174889613</v>
      </c>
    </row>
    <row r="364" spans="1:6">
      <c r="A364" s="7">
        <v>363</v>
      </c>
      <c r="B364" s="17">
        <v>70.812779579999997</v>
      </c>
      <c r="C364" s="11"/>
      <c r="D364" s="11">
        <v>70.380795359999993</v>
      </c>
      <c r="E364" s="11">
        <f t="shared" si="11"/>
        <v>0.42439643229991475</v>
      </c>
      <c r="F364">
        <f t="shared" si="10"/>
        <v>0.73338782163363414</v>
      </c>
    </row>
    <row r="365" spans="1:6">
      <c r="A365" s="7">
        <v>364</v>
      </c>
      <c r="B365" s="17">
        <v>71.203415300000003</v>
      </c>
      <c r="C365" s="11"/>
      <c r="D365" s="11">
        <v>70.812779579999997</v>
      </c>
      <c r="E365" s="11">
        <f t="shared" si="11"/>
        <v>0.85638065229991867</v>
      </c>
      <c r="F365">
        <f t="shared" si="10"/>
        <v>1.5550498327840641</v>
      </c>
    </row>
    <row r="366" spans="1:6">
      <c r="A366" s="7">
        <v>365</v>
      </c>
      <c r="B366" s="17">
        <v>69.982112970000003</v>
      </c>
      <c r="C366" s="11"/>
      <c r="D366" s="11">
        <v>71.203415300000003</v>
      </c>
      <c r="E366" s="11">
        <f t="shared" si="11"/>
        <v>1.2470163722999246</v>
      </c>
      <c r="F366">
        <f t="shared" si="10"/>
        <v>6.6121197140229333E-4</v>
      </c>
    </row>
    <row r="367" spans="1:6">
      <c r="A367" s="7">
        <v>366</v>
      </c>
      <c r="B367" s="17">
        <v>69.553438209999996</v>
      </c>
      <c r="C367" s="11"/>
      <c r="D367" s="11">
        <v>69.982112970000003</v>
      </c>
      <c r="E367" s="11">
        <f t="shared" si="11"/>
        <v>2.5714042299924245E-2</v>
      </c>
      <c r="F367">
        <f t="shared" si="10"/>
        <v>0.16237734000936574</v>
      </c>
    </row>
    <row r="368" spans="1:6">
      <c r="A368" s="7">
        <v>367</v>
      </c>
      <c r="B368" s="17">
        <v>69.749661020000005</v>
      </c>
      <c r="C368" s="11"/>
      <c r="D368" s="11">
        <v>69.553438209999996</v>
      </c>
      <c r="E368" s="11">
        <f t="shared" si="11"/>
        <v>-0.40296071770008268</v>
      </c>
      <c r="F368">
        <f t="shared" si="10"/>
        <v>4.2740562480204199E-2</v>
      </c>
    </row>
    <row r="369" spans="1:6">
      <c r="A369" s="7">
        <v>368</v>
      </c>
      <c r="B369" s="17">
        <v>71.55302476</v>
      </c>
      <c r="C369" s="11"/>
      <c r="D369" s="11">
        <v>69.749661020000005</v>
      </c>
      <c r="E369" s="11">
        <f t="shared" si="11"/>
        <v>-0.20673790770007372</v>
      </c>
      <c r="F369">
        <f t="shared" si="10"/>
        <v>2.5492140483674155</v>
      </c>
    </row>
    <row r="370" spans="1:6">
      <c r="A370" s="7">
        <v>369</v>
      </c>
      <c r="B370" s="17">
        <v>71.697345580000004</v>
      </c>
      <c r="C370" s="11"/>
      <c r="D370" s="11">
        <v>71.55302476</v>
      </c>
      <c r="E370" s="11">
        <f t="shared" si="11"/>
        <v>1.5966258322999209</v>
      </c>
      <c r="F370">
        <f t="shared" si="10"/>
        <v>3.030895246154317</v>
      </c>
    </row>
    <row r="371" spans="1:6">
      <c r="A371" s="7">
        <v>370</v>
      </c>
      <c r="B371" s="17">
        <v>71.349172030000005</v>
      </c>
      <c r="C371" s="11"/>
      <c r="D371" s="11">
        <v>71.697345580000004</v>
      </c>
      <c r="E371" s="11">
        <f t="shared" si="11"/>
        <v>1.7409466522999253</v>
      </c>
      <c r="F371">
        <f t="shared" si="10"/>
        <v>1.9398169144901622</v>
      </c>
    </row>
    <row r="372" spans="1:6">
      <c r="A372" s="7">
        <v>371</v>
      </c>
      <c r="B372" s="17">
        <v>69.642373449999994</v>
      </c>
      <c r="C372" s="11"/>
      <c r="D372" s="11">
        <v>71.349172030000005</v>
      </c>
      <c r="E372" s="11">
        <f t="shared" si="11"/>
        <v>1.3927731022999268</v>
      </c>
      <c r="F372">
        <f t="shared" si="10"/>
        <v>9.8612000644766468E-2</v>
      </c>
    </row>
    <row r="373" spans="1:6">
      <c r="A373" s="7">
        <v>372</v>
      </c>
      <c r="B373" s="17">
        <v>70.349555100000003</v>
      </c>
      <c r="C373" s="11"/>
      <c r="D373" s="11">
        <v>69.642373449999994</v>
      </c>
      <c r="E373" s="11">
        <f t="shared" si="11"/>
        <v>-0.31402547770008482</v>
      </c>
      <c r="F373">
        <f t="shared" si="10"/>
        <v>0.15457177581752818</v>
      </c>
    </row>
    <row r="374" spans="1:6">
      <c r="A374" s="7">
        <v>373</v>
      </c>
      <c r="B374" s="17">
        <v>70.542602689999995</v>
      </c>
      <c r="C374" s="11"/>
      <c r="D374" s="11">
        <v>70.349555100000003</v>
      </c>
      <c r="E374" s="11">
        <f t="shared" si="11"/>
        <v>0.39315617229992483</v>
      </c>
      <c r="F374">
        <f t="shared" si="10"/>
        <v>0.34363485093457735</v>
      </c>
    </row>
    <row r="375" spans="1:6">
      <c r="A375" s="7">
        <v>374</v>
      </c>
      <c r="B375" s="17">
        <v>71.609840399999996</v>
      </c>
      <c r="C375" s="11"/>
      <c r="D375" s="11">
        <v>70.542602689999995</v>
      </c>
      <c r="E375" s="11">
        <f t="shared" si="11"/>
        <v>0.58620376229991678</v>
      </c>
      <c r="F375">
        <f t="shared" si="10"/>
        <v>2.7338687023213182</v>
      </c>
    </row>
    <row r="376" spans="1:6">
      <c r="A376" s="7">
        <v>375</v>
      </c>
      <c r="B376" s="17">
        <v>72.817183589999999</v>
      </c>
      <c r="C376" s="11"/>
      <c r="D376" s="11">
        <v>71.609840399999996</v>
      </c>
      <c r="E376" s="11">
        <f t="shared" si="11"/>
        <v>1.6534414722999173</v>
      </c>
      <c r="F376">
        <f t="shared" si="10"/>
        <v>8.1840888840504693</v>
      </c>
    </row>
    <row r="377" spans="1:6">
      <c r="A377" s="7">
        <v>376</v>
      </c>
      <c r="B377" s="17">
        <v>70.900592259999996</v>
      </c>
      <c r="C377" s="11"/>
      <c r="D377" s="11">
        <v>72.817183589999999</v>
      </c>
      <c r="E377" s="11">
        <f t="shared" si="11"/>
        <v>2.8607846622999205</v>
      </c>
      <c r="F377">
        <f t="shared" si="10"/>
        <v>0.89150104875962266</v>
      </c>
    </row>
    <row r="378" spans="1:6">
      <c r="A378" s="7">
        <v>377</v>
      </c>
      <c r="B378" s="17">
        <v>69.288897149999997</v>
      </c>
      <c r="C378" s="11"/>
      <c r="D378" s="11">
        <v>70.900592259999996</v>
      </c>
      <c r="E378" s="11">
        <f t="shared" si="11"/>
        <v>0.94419333229991764</v>
      </c>
      <c r="F378">
        <f t="shared" si="10"/>
        <v>0.4455586232327694</v>
      </c>
    </row>
    <row r="379" spans="1:6">
      <c r="A379" s="7">
        <v>378</v>
      </c>
      <c r="B379" s="17">
        <v>68.439115619999995</v>
      </c>
      <c r="C379" s="11"/>
      <c r="D379" s="11">
        <v>69.288897149999997</v>
      </c>
      <c r="E379" s="11">
        <f t="shared" si="11"/>
        <v>-0.66750177770008179</v>
      </c>
      <c r="F379">
        <f t="shared" si="10"/>
        <v>2.3021486358253052</v>
      </c>
    </row>
    <row r="380" spans="1:6">
      <c r="A380" s="7">
        <v>379</v>
      </c>
      <c r="B380" s="17">
        <v>69.133220719999997</v>
      </c>
      <c r="C380" s="11"/>
      <c r="D380" s="11">
        <v>68.439115619999995</v>
      </c>
      <c r="E380" s="11">
        <f t="shared" si="11"/>
        <v>-1.5172833077000831</v>
      </c>
      <c r="F380">
        <f t="shared" si="10"/>
        <v>0.67762236163231859</v>
      </c>
    </row>
    <row r="381" spans="1:6">
      <c r="A381" s="7">
        <v>380</v>
      </c>
      <c r="B381" s="17">
        <v>69.566172289999997</v>
      </c>
      <c r="C381" s="11"/>
      <c r="D381" s="11">
        <v>69.133220719999997</v>
      </c>
      <c r="E381" s="11">
        <f t="shared" si="11"/>
        <v>-0.82317820770008154</v>
      </c>
      <c r="F381">
        <f t="shared" si="10"/>
        <v>0.15227682877071055</v>
      </c>
    </row>
    <row r="382" spans="1:6">
      <c r="A382" s="7">
        <v>381</v>
      </c>
      <c r="B382" s="17">
        <v>70.359241560000001</v>
      </c>
      <c r="C382" s="11"/>
      <c r="D382" s="11">
        <v>69.566172289999997</v>
      </c>
      <c r="E382" s="11">
        <f t="shared" si="11"/>
        <v>-0.39022663770008137</v>
      </c>
      <c r="F382">
        <f t="shared" si="10"/>
        <v>0.16228218639833045</v>
      </c>
    </row>
    <row r="383" spans="1:6">
      <c r="A383" s="7">
        <v>382</v>
      </c>
      <c r="B383" s="17">
        <v>70.201126430000002</v>
      </c>
      <c r="C383" s="11"/>
      <c r="D383" s="11">
        <v>70.359241560000001</v>
      </c>
      <c r="E383" s="11">
        <f t="shared" si="11"/>
        <v>0.40284263229992234</v>
      </c>
      <c r="F383">
        <f t="shared" si="10"/>
        <v>5.9891550381959098E-2</v>
      </c>
    </row>
    <row r="384" spans="1:6">
      <c r="A384" s="7">
        <v>383</v>
      </c>
      <c r="B384" s="17">
        <v>69.651304109999998</v>
      </c>
      <c r="C384" s="11"/>
      <c r="D384" s="11">
        <v>70.201126430000002</v>
      </c>
      <c r="E384" s="11">
        <f t="shared" si="11"/>
        <v>0.24472750229992357</v>
      </c>
      <c r="F384">
        <f t="shared" si="10"/>
        <v>9.3082847787445355E-2</v>
      </c>
    </row>
    <row r="385" spans="1:6">
      <c r="A385" s="7">
        <v>384</v>
      </c>
      <c r="B385" s="17">
        <v>70.795029670000005</v>
      </c>
      <c r="C385" s="11"/>
      <c r="D385" s="11">
        <v>69.651304109999998</v>
      </c>
      <c r="E385" s="11">
        <f t="shared" si="11"/>
        <v>-0.30509481770008051</v>
      </c>
      <c r="F385">
        <f t="shared" si="10"/>
        <v>0.70330152193052597</v>
      </c>
    </row>
    <row r="386" spans="1:6">
      <c r="A386" s="7">
        <v>385</v>
      </c>
      <c r="B386" s="17">
        <v>69.643746340000007</v>
      </c>
      <c r="C386" s="11"/>
      <c r="D386" s="11">
        <v>70.795029670000005</v>
      </c>
      <c r="E386" s="11">
        <f t="shared" si="11"/>
        <v>0.83863074229992662</v>
      </c>
      <c r="F386">
        <f t="shared" ref="F386:F402" si="12">(B386-$C$2)^2</f>
        <v>9.7751640595550998E-2</v>
      </c>
    </row>
    <row r="387" spans="1:6">
      <c r="A387" s="7">
        <v>386</v>
      </c>
      <c r="B387" s="17">
        <v>69.98084686</v>
      </c>
      <c r="C387" s="11"/>
      <c r="D387" s="11">
        <v>69.643746340000007</v>
      </c>
      <c r="E387" s="11">
        <f t="shared" ref="E387:E450" si="13">D387-$C$2</f>
        <v>-0.31265258770007165</v>
      </c>
      <c r="F387">
        <f t="shared" si="12"/>
        <v>5.9770139374152784E-4</v>
      </c>
    </row>
    <row r="388" spans="1:6">
      <c r="A388" s="7">
        <v>387</v>
      </c>
      <c r="B388" s="17">
        <v>69.689442479999997</v>
      </c>
      <c r="C388" s="11"/>
      <c r="D388" s="11">
        <v>69.98084686</v>
      </c>
      <c r="E388" s="11">
        <f t="shared" si="13"/>
        <v>2.4447932299921149E-2</v>
      </c>
      <c r="F388">
        <f t="shared" si="12"/>
        <v>7.1265744968646544E-2</v>
      </c>
    </row>
    <row r="389" spans="1:6">
      <c r="A389" s="7">
        <v>388</v>
      </c>
      <c r="B389" s="17">
        <v>70.543779939999993</v>
      </c>
      <c r="C389" s="11"/>
      <c r="D389" s="11">
        <v>69.689442479999997</v>
      </c>
      <c r="E389" s="11">
        <f t="shared" si="13"/>
        <v>-0.26695644770008187</v>
      </c>
      <c r="F389">
        <f t="shared" si="12"/>
        <v>0.3450164536104724</v>
      </c>
    </row>
    <row r="390" spans="1:6">
      <c r="A390" s="7">
        <v>389</v>
      </c>
      <c r="B390" s="17">
        <v>71.804696759999999</v>
      </c>
      <c r="C390" s="11"/>
      <c r="D390" s="11">
        <v>70.543779939999993</v>
      </c>
      <c r="E390" s="11">
        <f t="shared" si="13"/>
        <v>0.58738101229991457</v>
      </c>
      <c r="F390">
        <f t="shared" si="12"/>
        <v>3.4162048768845836</v>
      </c>
    </row>
    <row r="391" spans="1:6">
      <c r="A391" s="7">
        <v>390</v>
      </c>
      <c r="B391" s="17">
        <v>70.616585819999997</v>
      </c>
      <c r="C391" s="11"/>
      <c r="D391" s="11">
        <v>71.804696759999999</v>
      </c>
      <c r="E391" s="11">
        <f t="shared" si="13"/>
        <v>1.8482978322999202</v>
      </c>
      <c r="F391">
        <f t="shared" si="12"/>
        <v>0.43584673276462454</v>
      </c>
    </row>
    <row r="392" spans="1:6">
      <c r="A392" s="7">
        <v>391</v>
      </c>
      <c r="B392" s="17">
        <v>70.269575369999998</v>
      </c>
      <c r="C392" s="11"/>
      <c r="D392" s="11">
        <v>70.616585819999997</v>
      </c>
      <c r="E392" s="11">
        <f t="shared" si="13"/>
        <v>0.66018689229991878</v>
      </c>
      <c r="F392">
        <f t="shared" si="12"/>
        <v>9.8079484011634938E-2</v>
      </c>
    </row>
    <row r="393" spans="1:6">
      <c r="A393" s="7">
        <v>392</v>
      </c>
      <c r="B393" s="17">
        <v>70.155562340000003</v>
      </c>
      <c r="C393" s="11"/>
      <c r="D393" s="11">
        <v>70.269575369999998</v>
      </c>
      <c r="E393" s="11">
        <f t="shared" si="13"/>
        <v>0.3131764422999197</v>
      </c>
      <c r="F393">
        <f t="shared" si="12"/>
        <v>3.9666064798949678E-2</v>
      </c>
    </row>
    <row r="394" spans="1:6">
      <c r="A394" s="7">
        <v>393</v>
      </c>
      <c r="B394" s="17">
        <v>69.213042389999998</v>
      </c>
      <c r="C394" s="11"/>
      <c r="D394" s="11">
        <v>70.155562340000003</v>
      </c>
      <c r="E394" s="11">
        <f t="shared" si="13"/>
        <v>0.1991634122999244</v>
      </c>
      <c r="F394">
        <f t="shared" si="12"/>
        <v>0.55257894214145098</v>
      </c>
    </row>
    <row r="395" spans="1:6">
      <c r="A395" s="7">
        <v>394</v>
      </c>
      <c r="B395" s="17">
        <v>69.721944239999999</v>
      </c>
      <c r="C395" s="11"/>
      <c r="D395" s="11">
        <v>69.213042389999998</v>
      </c>
      <c r="E395" s="11">
        <f t="shared" si="13"/>
        <v>-0.74335653770008037</v>
      </c>
      <c r="F395">
        <f t="shared" si="12"/>
        <v>5.4969000584541808E-2</v>
      </c>
    </row>
    <row r="396" spans="1:6">
      <c r="A396" s="7">
        <v>395</v>
      </c>
      <c r="B396" s="17">
        <v>70.358374330000004</v>
      </c>
      <c r="C396" s="11"/>
      <c r="D396" s="11">
        <v>69.721944239999999</v>
      </c>
      <c r="E396" s="11">
        <f t="shared" si="13"/>
        <v>-0.23445468770007949</v>
      </c>
      <c r="F396">
        <f t="shared" si="12"/>
        <v>0.16158422405418665</v>
      </c>
    </row>
    <row r="397" spans="1:6">
      <c r="A397" s="7">
        <v>396</v>
      </c>
      <c r="B397" s="17">
        <v>70.711312149999998</v>
      </c>
      <c r="C397" s="11"/>
      <c r="D397" s="11">
        <v>70.358374330000004</v>
      </c>
      <c r="E397" s="11">
        <f t="shared" si="13"/>
        <v>0.40197540229992512</v>
      </c>
      <c r="F397">
        <f t="shared" si="12"/>
        <v>0.56989397320324708</v>
      </c>
    </row>
    <row r="398" spans="1:6">
      <c r="A398" s="7">
        <v>397</v>
      </c>
      <c r="B398" s="17">
        <v>70.120876089999996</v>
      </c>
      <c r="C398" s="11"/>
      <c r="D398" s="11">
        <v>70.711312149999998</v>
      </c>
      <c r="E398" s="11">
        <f t="shared" si="13"/>
        <v>0.75491322229991908</v>
      </c>
      <c r="F398">
        <f t="shared" si="12"/>
        <v>2.7052736918233327E-2</v>
      </c>
    </row>
    <row r="399" spans="1:6">
      <c r="A399" s="7">
        <v>398</v>
      </c>
      <c r="B399" s="17">
        <v>69.953324309999999</v>
      </c>
      <c r="C399" s="11"/>
      <c r="D399" s="11">
        <v>70.120876089999996</v>
      </c>
      <c r="E399" s="11">
        <f t="shared" si="13"/>
        <v>0.16447716229991727</v>
      </c>
      <c r="F399">
        <f t="shared" si="12"/>
        <v>9.4532740016411063E-6</v>
      </c>
    </row>
    <row r="400" spans="1:6">
      <c r="A400" s="7">
        <v>399</v>
      </c>
      <c r="B400" s="17">
        <v>68.788120809999995</v>
      </c>
      <c r="C400" s="11"/>
      <c r="D400" s="11">
        <v>69.953324309999999</v>
      </c>
      <c r="E400" s="11">
        <f t="shared" si="13"/>
        <v>-3.0746177000793296E-3</v>
      </c>
      <c r="F400">
        <f t="shared" si="12"/>
        <v>1.3648737602968499</v>
      </c>
    </row>
    <row r="401" spans="1:6">
      <c r="A401" s="7">
        <v>400</v>
      </c>
      <c r="B401" s="17">
        <v>68.928761120000004</v>
      </c>
      <c r="C401" s="11"/>
      <c r="D401" s="11">
        <v>68.788120809999995</v>
      </c>
      <c r="E401" s="11">
        <f t="shared" si="13"/>
        <v>-1.1682781177000834</v>
      </c>
      <c r="F401">
        <f t="shared" si="12"/>
        <v>1.0560394638146149</v>
      </c>
    </row>
    <row r="402" spans="1:6">
      <c r="C402" s="11"/>
      <c r="D402" s="11">
        <v>68.928761120000004</v>
      </c>
      <c r="E402" s="11">
        <f t="shared" si="13"/>
        <v>-1.0276378077000743</v>
      </c>
      <c r="F402">
        <f t="shared" si="12"/>
        <v>4893.8977509315164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BBF3-D35F-4734-B02F-2DE7A3503B44}">
  <dimension ref="A1:I401"/>
  <sheetViews>
    <sheetView zoomScale="68" workbookViewId="0">
      <selection activeCell="C3" sqref="C3"/>
    </sheetView>
  </sheetViews>
  <sheetFormatPr defaultRowHeight="14.45"/>
  <cols>
    <col min="2" max="2" width="14.28515625" bestFit="1" customWidth="1"/>
    <col min="3" max="3" width="11.5703125" customWidth="1"/>
    <col min="4" max="4" width="15" customWidth="1"/>
    <col min="5" max="5" width="26.140625" customWidth="1"/>
    <col min="6" max="6" width="18.7109375" customWidth="1"/>
  </cols>
  <sheetData>
    <row r="1" spans="1:9">
      <c r="A1" s="4" t="s">
        <v>0</v>
      </c>
      <c r="B1" s="4" t="s">
        <v>2</v>
      </c>
      <c r="C1" s="4" t="s">
        <v>48</v>
      </c>
      <c r="D1" s="4" t="s">
        <v>49</v>
      </c>
      <c r="E1" s="5" t="s">
        <v>50</v>
      </c>
      <c r="F1" s="5" t="s">
        <v>4</v>
      </c>
      <c r="G1" s="4" t="s">
        <v>5</v>
      </c>
    </row>
    <row r="2" spans="1:9">
      <c r="A2" s="7">
        <v>1</v>
      </c>
      <c r="B2" s="7">
        <v>68.346715680000003</v>
      </c>
      <c r="C2" s="15">
        <f>AVERAGE(B2:B401)</f>
        <v>69.956398927700079</v>
      </c>
      <c r="D2" s="15">
        <f>B2-$C$2</f>
        <v>-1.609683247700076</v>
      </c>
      <c r="E2" s="7">
        <f>-0.99*0</f>
        <v>0</v>
      </c>
      <c r="F2" s="7">
        <f t="shared" ref="F2:F65" si="0">D2-E2</f>
        <v>-1.609683247700076</v>
      </c>
      <c r="G2" s="7">
        <f t="shared" ref="G2:G65" si="1">F2^2</f>
        <v>2.5910801579262643</v>
      </c>
    </row>
    <row r="3" spans="1:9">
      <c r="A3" s="7">
        <v>2</v>
      </c>
      <c r="B3" s="7">
        <v>69.648484909999993</v>
      </c>
      <c r="C3" s="13"/>
      <c r="D3" s="15">
        <f t="shared" ref="D3:D66" si="2">B3-$C$2</f>
        <v>-0.3079140177000852</v>
      </c>
      <c r="E3" s="7">
        <f t="shared" ref="E3:E66" si="3">-0.99*F2</f>
        <v>1.5935864152230752</v>
      </c>
      <c r="F3" s="7">
        <f t="shared" si="0"/>
        <v>-1.9015004329231604</v>
      </c>
      <c r="G3" s="7">
        <f t="shared" si="1"/>
        <v>3.6157038964069663</v>
      </c>
      <c r="H3" s="1">
        <f>AVERAGE(G2:G401)</f>
        <v>78.816281858450225</v>
      </c>
      <c r="I3" s="14" t="s">
        <v>7</v>
      </c>
    </row>
    <row r="4" spans="1:9">
      <c r="A4" s="7">
        <v>3</v>
      </c>
      <c r="B4" s="7">
        <v>69.340707750000007</v>
      </c>
      <c r="C4" s="13"/>
      <c r="D4" s="15">
        <f t="shared" si="2"/>
        <v>-0.61569117770007153</v>
      </c>
      <c r="E4" s="7">
        <f t="shared" si="3"/>
        <v>1.8824854285939288</v>
      </c>
      <c r="F4" s="7">
        <f t="shared" si="0"/>
        <v>-2.4981766062940003</v>
      </c>
      <c r="G4" s="7">
        <f t="shared" si="1"/>
        <v>6.2408863562346086</v>
      </c>
      <c r="H4" s="1">
        <f>SQRT(H3)</f>
        <v>8.8778534488045153</v>
      </c>
      <c r="I4" s="14" t="s">
        <v>8</v>
      </c>
    </row>
    <row r="5" spans="1:9">
      <c r="A5" s="7">
        <v>4</v>
      </c>
      <c r="B5" s="7">
        <v>69.947982330000002</v>
      </c>
      <c r="C5" s="13"/>
      <c r="D5" s="15">
        <f t="shared" si="2"/>
        <v>-8.4165977000765224E-3</v>
      </c>
      <c r="E5" s="7">
        <f t="shared" si="3"/>
        <v>2.4731948402310602</v>
      </c>
      <c r="F5" s="7">
        <f t="shared" si="0"/>
        <v>-2.4816114379311367</v>
      </c>
      <c r="G5" s="7">
        <f t="shared" si="1"/>
        <v>6.1583953288706441</v>
      </c>
    </row>
    <row r="6" spans="1:9">
      <c r="A6" s="7">
        <v>5</v>
      </c>
      <c r="B6" s="7">
        <v>68.760614149999995</v>
      </c>
      <c r="C6" s="7"/>
      <c r="D6" s="15">
        <f t="shared" si="2"/>
        <v>-1.1957847777000836</v>
      </c>
      <c r="E6" s="7">
        <f t="shared" si="3"/>
        <v>2.4567953235518254</v>
      </c>
      <c r="F6" s="7">
        <f t="shared" si="0"/>
        <v>-3.652580101251909</v>
      </c>
      <c r="G6" s="7">
        <f t="shared" si="1"/>
        <v>13.341341396061406</v>
      </c>
    </row>
    <row r="7" spans="1:9">
      <c r="A7" s="7">
        <v>6</v>
      </c>
      <c r="B7" s="7">
        <v>68.681916150000006</v>
      </c>
      <c r="C7" s="7"/>
      <c r="D7" s="15">
        <f t="shared" si="2"/>
        <v>-1.2744827777000722</v>
      </c>
      <c r="E7" s="7">
        <f t="shared" si="3"/>
        <v>3.6160543002393899</v>
      </c>
      <c r="F7" s="7">
        <f t="shared" si="0"/>
        <v>-4.8905370779394621</v>
      </c>
      <c r="G7" s="7">
        <f t="shared" si="1"/>
        <v>23.917352910700654</v>
      </c>
    </row>
    <row r="8" spans="1:9">
      <c r="A8" s="7">
        <v>7</v>
      </c>
      <c r="B8" s="7">
        <v>69.470476039999994</v>
      </c>
      <c r="C8" s="7"/>
      <c r="D8" s="15">
        <f t="shared" si="2"/>
        <v>-0.48592288770008452</v>
      </c>
      <c r="E8" s="7">
        <f t="shared" si="3"/>
        <v>4.8416317071600679</v>
      </c>
      <c r="F8" s="7">
        <f t="shared" si="0"/>
        <v>-5.3275545948601524</v>
      </c>
      <c r="G8" s="7">
        <f t="shared" si="1"/>
        <v>28.382837961215522</v>
      </c>
    </row>
    <row r="9" spans="1:9">
      <c r="A9" s="7">
        <v>8</v>
      </c>
      <c r="B9" s="7">
        <v>68.417010970000007</v>
      </c>
      <c r="C9" s="7"/>
      <c r="D9" s="15">
        <f t="shared" si="2"/>
        <v>-1.5393879577000718</v>
      </c>
      <c r="E9" s="7">
        <f t="shared" si="3"/>
        <v>5.2742790489115512</v>
      </c>
      <c r="F9" s="7">
        <f t="shared" si="0"/>
        <v>-6.8136670066116229</v>
      </c>
      <c r="G9" s="7">
        <f t="shared" si="1"/>
        <v>46.426058076987793</v>
      </c>
    </row>
    <row r="10" spans="1:9">
      <c r="A10" s="7">
        <v>9</v>
      </c>
      <c r="B10" s="7">
        <v>69.324211640000001</v>
      </c>
      <c r="C10" s="7"/>
      <c r="D10" s="15">
        <f t="shared" si="2"/>
        <v>-0.63218728770007715</v>
      </c>
      <c r="E10" s="7">
        <f t="shared" si="3"/>
        <v>6.7455303365455066</v>
      </c>
      <c r="F10" s="7">
        <f t="shared" si="0"/>
        <v>-7.3777176242455837</v>
      </c>
      <c r="G10" s="7">
        <f t="shared" si="1"/>
        <v>54.4307173431039</v>
      </c>
    </row>
    <row r="11" spans="1:9">
      <c r="A11" s="7">
        <v>10</v>
      </c>
      <c r="B11" s="7">
        <v>69.690276130000001</v>
      </c>
      <c r="C11" s="7"/>
      <c r="D11" s="15">
        <f t="shared" si="2"/>
        <v>-0.26612279770007774</v>
      </c>
      <c r="E11" s="7">
        <f t="shared" si="3"/>
        <v>7.3039404480031278</v>
      </c>
      <c r="F11" s="7">
        <f t="shared" si="0"/>
        <v>-7.5700632457032055</v>
      </c>
      <c r="G11" s="7">
        <f t="shared" si="1"/>
        <v>57.305857543946551</v>
      </c>
    </row>
    <row r="12" spans="1:9">
      <c r="A12" s="7">
        <v>11</v>
      </c>
      <c r="B12" s="7">
        <v>68.274545989999993</v>
      </c>
      <c r="C12" s="7"/>
      <c r="D12" s="15">
        <f t="shared" si="2"/>
        <v>-1.6818529377000857</v>
      </c>
      <c r="E12" s="7">
        <f t="shared" si="3"/>
        <v>7.4943626132461736</v>
      </c>
      <c r="F12" s="7">
        <f t="shared" si="0"/>
        <v>-9.1762155509462602</v>
      </c>
      <c r="G12" s="7">
        <f t="shared" si="1"/>
        <v>84.202931837427982</v>
      </c>
    </row>
    <row r="13" spans="1:9">
      <c r="A13" s="7">
        <v>12</v>
      </c>
      <c r="B13" s="7">
        <v>67.754401999999999</v>
      </c>
      <c r="C13" s="7"/>
      <c r="D13" s="15">
        <f t="shared" si="2"/>
        <v>-2.2019969277000797</v>
      </c>
      <c r="E13" s="7">
        <f t="shared" si="3"/>
        <v>9.0844533954367979</v>
      </c>
      <c r="F13" s="7">
        <f t="shared" si="0"/>
        <v>-11.286450323136878</v>
      </c>
      <c r="G13" s="7">
        <f t="shared" si="1"/>
        <v>127.38396089663652</v>
      </c>
    </row>
    <row r="14" spans="1:9">
      <c r="A14" s="7">
        <v>13</v>
      </c>
      <c r="B14" s="7">
        <v>69.775397490000003</v>
      </c>
      <c r="C14" s="7"/>
      <c r="D14" s="15">
        <f t="shared" si="2"/>
        <v>-0.18100143770007548</v>
      </c>
      <c r="E14" s="7">
        <f t="shared" si="3"/>
        <v>11.173585819905508</v>
      </c>
      <c r="F14" s="7">
        <f t="shared" si="0"/>
        <v>-11.354587257605584</v>
      </c>
      <c r="G14" s="7">
        <f t="shared" si="1"/>
        <v>128.92665179057909</v>
      </c>
    </row>
    <row r="15" spans="1:9">
      <c r="A15" s="7">
        <v>14</v>
      </c>
      <c r="B15" s="7">
        <v>71.434473879999999</v>
      </c>
      <c r="C15" s="7"/>
      <c r="D15" s="15">
        <f t="shared" si="2"/>
        <v>1.4780749522999201</v>
      </c>
      <c r="E15" s="7">
        <f t="shared" si="3"/>
        <v>11.241041385029527</v>
      </c>
      <c r="F15" s="7">
        <f t="shared" si="0"/>
        <v>-9.7629664327296073</v>
      </c>
      <c r="G15" s="7">
        <f t="shared" si="1"/>
        <v>95.315513566605077</v>
      </c>
    </row>
    <row r="16" spans="1:9">
      <c r="A16" s="7">
        <v>15</v>
      </c>
      <c r="B16" s="7">
        <v>70.796156440000004</v>
      </c>
      <c r="C16" s="7"/>
      <c r="D16" s="15">
        <f t="shared" si="2"/>
        <v>0.83975751229992568</v>
      </c>
      <c r="E16" s="7">
        <f t="shared" si="3"/>
        <v>9.6653367684023106</v>
      </c>
      <c r="F16" s="7">
        <f t="shared" si="0"/>
        <v>-8.8255792561023849</v>
      </c>
      <c r="G16" s="7">
        <f t="shared" si="1"/>
        <v>77.890849205744729</v>
      </c>
    </row>
    <row r="17" spans="1:7">
      <c r="A17" s="7">
        <v>16</v>
      </c>
      <c r="B17" s="7">
        <v>70.452113510000004</v>
      </c>
      <c r="C17" s="7"/>
      <c r="D17" s="15">
        <f t="shared" si="2"/>
        <v>0.49571458229992515</v>
      </c>
      <c r="E17" s="7">
        <f t="shared" si="3"/>
        <v>8.7373234635413617</v>
      </c>
      <c r="F17" s="7">
        <f t="shared" si="0"/>
        <v>-8.2416088812414365</v>
      </c>
      <c r="G17" s="7">
        <f t="shared" si="1"/>
        <v>67.924116951357718</v>
      </c>
    </row>
    <row r="18" spans="1:7">
      <c r="A18" s="7">
        <v>17</v>
      </c>
      <c r="B18" s="7">
        <v>70.256264740000006</v>
      </c>
      <c r="C18" s="7"/>
      <c r="D18" s="15">
        <f t="shared" si="2"/>
        <v>0.29986581229992737</v>
      </c>
      <c r="E18" s="7">
        <f t="shared" si="3"/>
        <v>8.1591927924290228</v>
      </c>
      <c r="F18" s="7">
        <f t="shared" si="0"/>
        <v>-7.8593269801290955</v>
      </c>
      <c r="G18" s="7">
        <f t="shared" si="1"/>
        <v>61.769020580585128</v>
      </c>
    </row>
    <row r="19" spans="1:7">
      <c r="A19" s="7">
        <v>18</v>
      </c>
      <c r="B19" s="7">
        <v>70.347747769999998</v>
      </c>
      <c r="C19" s="7"/>
      <c r="D19" s="15">
        <f t="shared" si="2"/>
        <v>0.3913488422999194</v>
      </c>
      <c r="E19" s="7">
        <f t="shared" si="3"/>
        <v>7.7807337103278043</v>
      </c>
      <c r="F19" s="7">
        <f t="shared" si="0"/>
        <v>-7.3893848680278849</v>
      </c>
      <c r="G19" s="7">
        <f t="shared" si="1"/>
        <v>54.60300872783948</v>
      </c>
    </row>
    <row r="20" spans="1:7">
      <c r="A20" s="7">
        <v>19</v>
      </c>
      <c r="B20" s="7">
        <v>71.417753250000004</v>
      </c>
      <c r="C20" s="7"/>
      <c r="D20" s="15">
        <f t="shared" si="2"/>
        <v>1.4613543222999255</v>
      </c>
      <c r="E20" s="7">
        <f t="shared" si="3"/>
        <v>7.3154910193476059</v>
      </c>
      <c r="F20" s="7">
        <f t="shared" si="0"/>
        <v>-5.8541366970476805</v>
      </c>
      <c r="G20" s="7">
        <f t="shared" si="1"/>
        <v>34.270916467720326</v>
      </c>
    </row>
    <row r="21" spans="1:7">
      <c r="A21" s="7">
        <v>20</v>
      </c>
      <c r="B21" s="7">
        <v>69.239329220000002</v>
      </c>
      <c r="C21" s="7"/>
      <c r="D21" s="15">
        <f t="shared" si="2"/>
        <v>-0.71706970770007672</v>
      </c>
      <c r="E21" s="7">
        <f t="shared" si="3"/>
        <v>5.7955953300772034</v>
      </c>
      <c r="F21" s="7">
        <f t="shared" si="0"/>
        <v>-6.5126650377772801</v>
      </c>
      <c r="G21" s="7">
        <f t="shared" si="1"/>
        <v>42.414805894286545</v>
      </c>
    </row>
    <row r="22" spans="1:7">
      <c r="A22" s="7">
        <v>21</v>
      </c>
      <c r="B22" s="7">
        <v>69.794732289999999</v>
      </c>
      <c r="C22" s="7"/>
      <c r="D22" s="15">
        <f t="shared" si="2"/>
        <v>-0.16166663770007972</v>
      </c>
      <c r="E22" s="7">
        <f t="shared" si="3"/>
        <v>6.4475383873995069</v>
      </c>
      <c r="F22" s="7">
        <f t="shared" si="0"/>
        <v>-6.6092050250995866</v>
      </c>
      <c r="G22" s="7">
        <f t="shared" si="1"/>
        <v>43.681591063801626</v>
      </c>
    </row>
    <row r="23" spans="1:7">
      <c r="A23" s="7">
        <v>22</v>
      </c>
      <c r="B23" s="7">
        <v>69.723031649999996</v>
      </c>
      <c r="C23" s="7"/>
      <c r="D23" s="15">
        <f t="shared" si="2"/>
        <v>-0.23336727770008281</v>
      </c>
      <c r="E23" s="7">
        <f t="shared" si="3"/>
        <v>6.543112974848591</v>
      </c>
      <c r="F23" s="7">
        <f t="shared" si="0"/>
        <v>-6.7764802525486738</v>
      </c>
      <c r="G23" s="7">
        <f t="shared" si="1"/>
        <v>45.920684613182139</v>
      </c>
    </row>
    <row r="24" spans="1:7">
      <c r="A24" s="7">
        <v>23</v>
      </c>
      <c r="B24" s="7">
        <v>69.671140370000003</v>
      </c>
      <c r="C24" s="7"/>
      <c r="D24" s="15">
        <f t="shared" si="2"/>
        <v>-0.28525855770007524</v>
      </c>
      <c r="E24" s="7">
        <f t="shared" si="3"/>
        <v>6.7087154500231874</v>
      </c>
      <c r="F24" s="7">
        <f t="shared" si="0"/>
        <v>-6.9939740077232626</v>
      </c>
      <c r="G24" s="7">
        <f t="shared" si="1"/>
        <v>48.915672420708596</v>
      </c>
    </row>
    <row r="25" spans="1:7">
      <c r="A25" s="7">
        <v>24</v>
      </c>
      <c r="B25" s="7">
        <v>69.583524999999995</v>
      </c>
      <c r="C25" s="7"/>
      <c r="D25" s="15">
        <f t="shared" si="2"/>
        <v>-0.3728739277000841</v>
      </c>
      <c r="E25" s="7">
        <f t="shared" si="3"/>
        <v>6.9240342676460296</v>
      </c>
      <c r="F25" s="7">
        <f t="shared" si="0"/>
        <v>-7.2969081953461137</v>
      </c>
      <c r="G25" s="7">
        <f t="shared" si="1"/>
        <v>53.244869211309279</v>
      </c>
    </row>
    <row r="26" spans="1:7">
      <c r="A26" s="7">
        <v>25</v>
      </c>
      <c r="B26" s="7">
        <v>69.473625769999998</v>
      </c>
      <c r="C26" s="7"/>
      <c r="D26" s="15">
        <f t="shared" si="2"/>
        <v>-0.48277315770008045</v>
      </c>
      <c r="E26" s="7">
        <f t="shared" si="3"/>
        <v>7.2239391133926523</v>
      </c>
      <c r="F26" s="7">
        <f t="shared" si="0"/>
        <v>-7.7067122710927327</v>
      </c>
      <c r="G26" s="7">
        <f t="shared" si="1"/>
        <v>59.393414029411304</v>
      </c>
    </row>
    <row r="27" spans="1:7">
      <c r="A27" s="7">
        <v>26</v>
      </c>
      <c r="B27" s="7">
        <v>68.582921769999999</v>
      </c>
      <c r="C27" s="7"/>
      <c r="D27" s="15">
        <f t="shared" si="2"/>
        <v>-1.3734771577000799</v>
      </c>
      <c r="E27" s="7">
        <f t="shared" si="3"/>
        <v>7.6296451483818055</v>
      </c>
      <c r="F27" s="7">
        <f t="shared" si="0"/>
        <v>-9.0031223060818846</v>
      </c>
      <c r="G27" s="7">
        <f t="shared" si="1"/>
        <v>81.056211258269187</v>
      </c>
    </row>
    <row r="28" spans="1:7">
      <c r="A28" s="7">
        <v>27</v>
      </c>
      <c r="B28" s="7">
        <v>69.491004529999998</v>
      </c>
      <c r="C28" s="7"/>
      <c r="D28" s="15">
        <f t="shared" si="2"/>
        <v>-0.46539439770008073</v>
      </c>
      <c r="E28" s="7">
        <f t="shared" si="3"/>
        <v>8.9130910830210652</v>
      </c>
      <c r="F28" s="7">
        <f t="shared" si="0"/>
        <v>-9.378485480721146</v>
      </c>
      <c r="G28" s="7">
        <f t="shared" si="1"/>
        <v>87.955989912097351</v>
      </c>
    </row>
    <row r="29" spans="1:7">
      <c r="A29" s="7">
        <v>28</v>
      </c>
      <c r="B29" s="7">
        <v>71.790669219999998</v>
      </c>
      <c r="C29" s="7"/>
      <c r="D29" s="15">
        <f t="shared" si="2"/>
        <v>1.8342702922999194</v>
      </c>
      <c r="E29" s="7">
        <f t="shared" si="3"/>
        <v>9.2847006259139349</v>
      </c>
      <c r="F29" s="7">
        <f t="shared" si="0"/>
        <v>-7.4504303336140154</v>
      </c>
      <c r="G29" s="7">
        <f t="shared" si="1"/>
        <v>55.508912156035848</v>
      </c>
    </row>
    <row r="30" spans="1:7">
      <c r="A30" s="7">
        <v>29</v>
      </c>
      <c r="B30" s="7">
        <v>71.170967149999996</v>
      </c>
      <c r="C30" s="7"/>
      <c r="D30" s="15">
        <f t="shared" si="2"/>
        <v>1.214568222299917</v>
      </c>
      <c r="E30" s="7">
        <f t="shared" si="3"/>
        <v>7.3759260302778751</v>
      </c>
      <c r="F30" s="7">
        <f t="shared" si="0"/>
        <v>-6.1613578079779581</v>
      </c>
      <c r="G30" s="7">
        <f t="shared" si="1"/>
        <v>37.962330037930947</v>
      </c>
    </row>
    <row r="31" spans="1:7">
      <c r="A31" s="7">
        <v>30</v>
      </c>
      <c r="B31" s="7">
        <v>70.163994479999999</v>
      </c>
      <c r="C31" s="7"/>
      <c r="D31" s="15">
        <f t="shared" si="2"/>
        <v>0.20759555229992088</v>
      </c>
      <c r="E31" s="7">
        <f t="shared" si="3"/>
        <v>6.0997442298981781</v>
      </c>
      <c r="F31" s="7">
        <f t="shared" si="0"/>
        <v>-5.8921486775982572</v>
      </c>
      <c r="G31" s="7">
        <f t="shared" si="1"/>
        <v>34.717416038922892</v>
      </c>
    </row>
    <row r="32" spans="1:7">
      <c r="A32" s="7">
        <v>31</v>
      </c>
      <c r="B32" s="7">
        <v>69.059807509999999</v>
      </c>
      <c r="C32" s="7"/>
      <c r="D32" s="15">
        <f t="shared" si="2"/>
        <v>-0.89659141770007977</v>
      </c>
      <c r="E32" s="7">
        <f t="shared" si="3"/>
        <v>5.8332271908222744</v>
      </c>
      <c r="F32" s="7">
        <f t="shared" si="0"/>
        <v>-6.7298186085223541</v>
      </c>
      <c r="G32" s="7">
        <f t="shared" si="1"/>
        <v>45.290458503613756</v>
      </c>
    </row>
    <row r="33" spans="1:7">
      <c r="A33" s="7">
        <v>32</v>
      </c>
      <c r="B33" s="7">
        <v>69.269211609999999</v>
      </c>
      <c r="C33" s="7"/>
      <c r="D33" s="15">
        <f t="shared" si="2"/>
        <v>-0.68718731770007935</v>
      </c>
      <c r="E33" s="7">
        <f t="shared" si="3"/>
        <v>6.6625204224371304</v>
      </c>
      <c r="F33" s="7">
        <f t="shared" si="0"/>
        <v>-7.3497077401372097</v>
      </c>
      <c r="G33" s="7">
        <f t="shared" si="1"/>
        <v>54.01820386543281</v>
      </c>
    </row>
    <row r="34" spans="1:7">
      <c r="A34" s="7">
        <v>33</v>
      </c>
      <c r="B34" s="7">
        <v>70.309751140000003</v>
      </c>
      <c r="C34" s="7"/>
      <c r="D34" s="15">
        <f t="shared" si="2"/>
        <v>0.35335221229992442</v>
      </c>
      <c r="E34" s="7">
        <f t="shared" si="3"/>
        <v>7.2762106627358376</v>
      </c>
      <c r="F34" s="7">
        <f t="shared" si="0"/>
        <v>-6.9228584504359132</v>
      </c>
      <c r="G34" s="7">
        <f t="shared" si="1"/>
        <v>47.925969124771932</v>
      </c>
    </row>
    <row r="35" spans="1:7">
      <c r="A35" s="7">
        <v>34</v>
      </c>
      <c r="B35" s="7">
        <v>70.034844759999999</v>
      </c>
      <c r="C35" s="7"/>
      <c r="D35" s="15">
        <f t="shared" si="2"/>
        <v>7.8445832299919971E-2</v>
      </c>
      <c r="E35" s="7">
        <f t="shared" si="3"/>
        <v>6.8536298659315538</v>
      </c>
      <c r="F35" s="7">
        <f t="shared" si="0"/>
        <v>-6.7751840336316338</v>
      </c>
      <c r="G35" s="7">
        <f t="shared" si="1"/>
        <v>45.903118689577013</v>
      </c>
    </row>
    <row r="36" spans="1:7">
      <c r="A36" s="7">
        <v>35</v>
      </c>
      <c r="B36" s="7">
        <v>69.474177470000001</v>
      </c>
      <c r="C36" s="7"/>
      <c r="D36" s="15">
        <f t="shared" si="2"/>
        <v>-0.48222145770007785</v>
      </c>
      <c r="E36" s="7">
        <f t="shared" si="3"/>
        <v>6.7074321932953174</v>
      </c>
      <c r="F36" s="7">
        <f t="shared" si="0"/>
        <v>-7.1896536509953952</v>
      </c>
      <c r="G36" s="7">
        <f t="shared" si="1"/>
        <v>51.691119621271419</v>
      </c>
    </row>
    <row r="37" spans="1:7">
      <c r="A37" s="7">
        <v>36</v>
      </c>
      <c r="B37" s="7">
        <v>70.077317600000001</v>
      </c>
      <c r="C37" s="7"/>
      <c r="D37" s="15">
        <f t="shared" si="2"/>
        <v>0.12091867229992204</v>
      </c>
      <c r="E37" s="7">
        <f t="shared" si="3"/>
        <v>7.1177571144854408</v>
      </c>
      <c r="F37" s="7">
        <f t="shared" si="0"/>
        <v>-6.9968384421855188</v>
      </c>
      <c r="G37" s="7">
        <f t="shared" si="1"/>
        <v>48.955748186045078</v>
      </c>
    </row>
    <row r="38" spans="1:7">
      <c r="A38" s="7">
        <v>37</v>
      </c>
      <c r="B38" s="7">
        <v>69.286132550000005</v>
      </c>
      <c r="C38" s="7"/>
      <c r="D38" s="15">
        <f t="shared" si="2"/>
        <v>-0.67026637770007369</v>
      </c>
      <c r="E38" s="7">
        <f t="shared" si="3"/>
        <v>6.9268700577636633</v>
      </c>
      <c r="F38" s="7">
        <f t="shared" si="0"/>
        <v>-7.597136435463737</v>
      </c>
      <c r="G38" s="7">
        <f t="shared" si="1"/>
        <v>57.716482019050652</v>
      </c>
    </row>
    <row r="39" spans="1:7">
      <c r="A39" s="7">
        <v>38</v>
      </c>
      <c r="B39" s="7">
        <v>69.800980879999997</v>
      </c>
      <c r="C39" s="7"/>
      <c r="D39" s="15">
        <f t="shared" si="2"/>
        <v>-0.15541804770008127</v>
      </c>
      <c r="E39" s="7">
        <f t="shared" si="3"/>
        <v>7.5211650711090998</v>
      </c>
      <c r="F39" s="7">
        <f t="shared" si="0"/>
        <v>-7.6765831188091811</v>
      </c>
      <c r="G39" s="7">
        <f t="shared" si="1"/>
        <v>58.929928379986094</v>
      </c>
    </row>
    <row r="40" spans="1:7">
      <c r="A40" s="7">
        <v>39</v>
      </c>
      <c r="B40" s="7">
        <v>70.915070560000004</v>
      </c>
      <c r="C40" s="7"/>
      <c r="D40" s="15">
        <f t="shared" si="2"/>
        <v>0.95867163229992514</v>
      </c>
      <c r="E40" s="7">
        <f t="shared" si="3"/>
        <v>7.5998172876210894</v>
      </c>
      <c r="F40" s="7">
        <f t="shared" si="0"/>
        <v>-6.6411456553211643</v>
      </c>
      <c r="G40" s="7">
        <f t="shared" si="1"/>
        <v>44.104815615191178</v>
      </c>
    </row>
    <row r="41" spans="1:7">
      <c r="A41" s="7">
        <v>40</v>
      </c>
      <c r="B41" s="7">
        <v>71.968696609999995</v>
      </c>
      <c r="C41" s="7"/>
      <c r="D41" s="15">
        <f t="shared" si="2"/>
        <v>2.0122976822999163</v>
      </c>
      <c r="E41" s="7">
        <f t="shared" si="3"/>
        <v>6.5747341987679526</v>
      </c>
      <c r="F41" s="7">
        <f t="shared" si="0"/>
        <v>-4.5624365164680363</v>
      </c>
      <c r="G41" s="7">
        <f t="shared" si="1"/>
        <v>20.815826966800991</v>
      </c>
    </row>
    <row r="42" spans="1:7">
      <c r="A42" s="7">
        <v>41</v>
      </c>
      <c r="B42" s="7">
        <v>70.816314790000007</v>
      </c>
      <c r="C42" s="7"/>
      <c r="D42" s="15">
        <f t="shared" si="2"/>
        <v>0.85991586229992834</v>
      </c>
      <c r="E42" s="7">
        <f t="shared" si="3"/>
        <v>4.5168121513033554</v>
      </c>
      <c r="F42" s="7">
        <f t="shared" si="0"/>
        <v>-3.6568962890034271</v>
      </c>
      <c r="G42" s="7">
        <f t="shared" si="1"/>
        <v>13.372890468527038</v>
      </c>
    </row>
    <row r="43" spans="1:7">
      <c r="A43" s="7">
        <v>42</v>
      </c>
      <c r="B43" s="7">
        <v>71.266777129999994</v>
      </c>
      <c r="C43" s="7"/>
      <c r="D43" s="15">
        <f t="shared" si="2"/>
        <v>1.3103782022999155</v>
      </c>
      <c r="E43" s="7">
        <f t="shared" si="3"/>
        <v>3.6203273261133928</v>
      </c>
      <c r="F43" s="7">
        <f t="shared" si="0"/>
        <v>-2.3099491238134773</v>
      </c>
      <c r="G43" s="7">
        <f t="shared" si="1"/>
        <v>5.3358649546066514</v>
      </c>
    </row>
    <row r="44" spans="1:7">
      <c r="A44" s="7">
        <v>43</v>
      </c>
      <c r="B44" s="7">
        <v>71.54958173</v>
      </c>
      <c r="C44" s="7"/>
      <c r="D44" s="15">
        <f t="shared" si="2"/>
        <v>1.5931828022999213</v>
      </c>
      <c r="E44" s="7">
        <f t="shared" si="3"/>
        <v>2.2868496325753425</v>
      </c>
      <c r="F44" s="7">
        <f t="shared" si="0"/>
        <v>-0.6936668302754212</v>
      </c>
      <c r="G44" s="7">
        <f t="shared" si="1"/>
        <v>0.48117367142435002</v>
      </c>
    </row>
    <row r="45" spans="1:7">
      <c r="A45" s="7">
        <v>44</v>
      </c>
      <c r="B45" s="7">
        <v>69.553503259999999</v>
      </c>
      <c r="C45" s="7"/>
      <c r="D45" s="15">
        <f t="shared" si="2"/>
        <v>-0.40289566770007923</v>
      </c>
      <c r="E45" s="7">
        <f t="shared" si="3"/>
        <v>0.68673016197266701</v>
      </c>
      <c r="F45" s="7">
        <f t="shared" si="0"/>
        <v>-1.0896258296727463</v>
      </c>
      <c r="G45" s="7">
        <f t="shared" si="1"/>
        <v>1.1872844486900209</v>
      </c>
    </row>
    <row r="46" spans="1:7">
      <c r="A46" s="7">
        <v>45</v>
      </c>
      <c r="B46" s="7">
        <v>68.049288919999995</v>
      </c>
      <c r="C46" s="7"/>
      <c r="D46" s="15">
        <f t="shared" si="2"/>
        <v>-1.9071100077000835</v>
      </c>
      <c r="E46" s="7">
        <f t="shared" si="3"/>
        <v>1.0787295713760188</v>
      </c>
      <c r="F46" s="7">
        <f t="shared" si="0"/>
        <v>-2.9858395790761021</v>
      </c>
      <c r="G46" s="7">
        <f t="shared" si="1"/>
        <v>8.9152379919773548</v>
      </c>
    </row>
    <row r="47" spans="1:7">
      <c r="A47" s="7">
        <v>46</v>
      </c>
      <c r="B47" s="7">
        <v>68.658558740000004</v>
      </c>
      <c r="C47" s="7"/>
      <c r="D47" s="15">
        <f t="shared" si="2"/>
        <v>-1.2978401877000749</v>
      </c>
      <c r="E47" s="7">
        <f t="shared" si="3"/>
        <v>2.9559811832853411</v>
      </c>
      <c r="F47" s="7">
        <f t="shared" si="0"/>
        <v>-4.253821370985416</v>
      </c>
      <c r="G47" s="7">
        <f t="shared" si="1"/>
        <v>18.094996256252244</v>
      </c>
    </row>
    <row r="48" spans="1:7">
      <c r="A48" s="7">
        <v>47</v>
      </c>
      <c r="B48" s="7">
        <v>70.809284059999996</v>
      </c>
      <c r="C48" s="7"/>
      <c r="D48" s="15">
        <f t="shared" si="2"/>
        <v>0.85288513229991736</v>
      </c>
      <c r="E48" s="7">
        <f t="shared" si="3"/>
        <v>4.2112831572755622</v>
      </c>
      <c r="F48" s="7">
        <f t="shared" si="0"/>
        <v>-3.3583980249756449</v>
      </c>
      <c r="G48" s="7">
        <f t="shared" si="1"/>
        <v>11.278837294160311</v>
      </c>
    </row>
    <row r="49" spans="1:7">
      <c r="A49" s="7">
        <v>48</v>
      </c>
      <c r="B49" s="7">
        <v>70.81571581</v>
      </c>
      <c r="C49" s="7"/>
      <c r="D49" s="15">
        <f t="shared" si="2"/>
        <v>0.85931688229992176</v>
      </c>
      <c r="E49" s="7">
        <f t="shared" si="3"/>
        <v>3.3248140447258883</v>
      </c>
      <c r="F49" s="7">
        <f t="shared" si="0"/>
        <v>-2.4654971624259665</v>
      </c>
      <c r="G49" s="7">
        <f t="shared" si="1"/>
        <v>6.0786762579304927</v>
      </c>
    </row>
    <row r="50" spans="1:7">
      <c r="A50" s="7">
        <v>49</v>
      </c>
      <c r="B50" s="7">
        <v>69.645986710000003</v>
      </c>
      <c r="C50" s="7"/>
      <c r="D50" s="15">
        <f t="shared" si="2"/>
        <v>-0.3104122177000761</v>
      </c>
      <c r="E50" s="7">
        <f t="shared" si="3"/>
        <v>2.4408421908017068</v>
      </c>
      <c r="F50" s="7">
        <f t="shared" si="0"/>
        <v>-2.7512544085017829</v>
      </c>
      <c r="G50" s="7">
        <f t="shared" si="1"/>
        <v>7.5694008203004959</v>
      </c>
    </row>
    <row r="51" spans="1:7">
      <c r="A51" s="7">
        <v>50</v>
      </c>
      <c r="B51" s="7">
        <v>71.095120460000004</v>
      </c>
      <c r="C51" s="7"/>
      <c r="D51" s="15">
        <f t="shared" si="2"/>
        <v>1.1387215322999253</v>
      </c>
      <c r="E51" s="7">
        <f t="shared" si="3"/>
        <v>2.7237418644167652</v>
      </c>
      <c r="F51" s="7">
        <f t="shared" si="0"/>
        <v>-1.5850203321168399</v>
      </c>
      <c r="G51" s="7">
        <f t="shared" si="1"/>
        <v>2.5122894532237776</v>
      </c>
    </row>
    <row r="52" spans="1:7">
      <c r="A52" s="7">
        <v>51</v>
      </c>
      <c r="B52" s="7">
        <v>71.050180749999996</v>
      </c>
      <c r="C52" s="7"/>
      <c r="D52" s="15">
        <f t="shared" si="2"/>
        <v>1.0937818222999169</v>
      </c>
      <c r="E52" s="7">
        <f t="shared" si="3"/>
        <v>1.5691701287956714</v>
      </c>
      <c r="F52" s="7">
        <f t="shared" si="0"/>
        <v>-0.47538830649575448</v>
      </c>
      <c r="G52" s="7">
        <f t="shared" si="1"/>
        <v>0.2259940419529014</v>
      </c>
    </row>
    <row r="53" spans="1:7">
      <c r="A53" s="7">
        <v>52</v>
      </c>
      <c r="B53" s="7">
        <v>67.980978039999997</v>
      </c>
      <c r="C53" s="7"/>
      <c r="D53" s="15">
        <f t="shared" si="2"/>
        <v>-1.9754208877000821</v>
      </c>
      <c r="E53" s="7">
        <f t="shared" si="3"/>
        <v>0.47063442343079692</v>
      </c>
      <c r="F53" s="7">
        <f t="shared" si="0"/>
        <v>-2.4460553111308792</v>
      </c>
      <c r="G53" s="7">
        <f t="shared" si="1"/>
        <v>5.9831865851115822</v>
      </c>
    </row>
    <row r="54" spans="1:7">
      <c r="A54" s="7">
        <v>53</v>
      </c>
      <c r="B54" s="7">
        <v>68.790693219999994</v>
      </c>
      <c r="C54" s="7"/>
      <c r="D54" s="15">
        <f t="shared" si="2"/>
        <v>-1.1657057077000843</v>
      </c>
      <c r="E54" s="7">
        <f t="shared" si="3"/>
        <v>2.4215947580195705</v>
      </c>
      <c r="F54" s="7">
        <f t="shared" si="0"/>
        <v>-3.5873004657196548</v>
      </c>
      <c r="G54" s="7">
        <f t="shared" si="1"/>
        <v>12.868724631352451</v>
      </c>
    </row>
    <row r="55" spans="1:7">
      <c r="A55" s="7">
        <v>54</v>
      </c>
      <c r="B55" s="7">
        <v>70.400163140000004</v>
      </c>
      <c r="C55" s="7"/>
      <c r="D55" s="15">
        <f t="shared" si="2"/>
        <v>0.44376421229992502</v>
      </c>
      <c r="E55" s="7">
        <f t="shared" si="3"/>
        <v>3.5514274610624583</v>
      </c>
      <c r="F55" s="7">
        <f t="shared" si="0"/>
        <v>-3.1076632487625333</v>
      </c>
      <c r="G55" s="7">
        <f t="shared" si="1"/>
        <v>9.6575708677093033</v>
      </c>
    </row>
    <row r="56" spans="1:7">
      <c r="A56" s="7">
        <v>55</v>
      </c>
      <c r="B56" s="7">
        <v>70.828498569999994</v>
      </c>
      <c r="C56" s="7"/>
      <c r="D56" s="15">
        <f t="shared" si="2"/>
        <v>0.87209964229991499</v>
      </c>
      <c r="E56" s="7">
        <f t="shared" si="3"/>
        <v>3.0765866162749078</v>
      </c>
      <c r="F56" s="7">
        <f t="shared" si="0"/>
        <v>-2.2044869739749928</v>
      </c>
      <c r="G56" s="7">
        <f t="shared" si="1"/>
        <v>4.8597628184254207</v>
      </c>
    </row>
    <row r="57" spans="1:7">
      <c r="A57" s="7">
        <v>56</v>
      </c>
      <c r="B57" s="7">
        <v>70.826762299999999</v>
      </c>
      <c r="C57" s="7"/>
      <c r="D57" s="15">
        <f t="shared" si="2"/>
        <v>0.87036337229992</v>
      </c>
      <c r="E57" s="7">
        <f t="shared" si="3"/>
        <v>2.1824421042352431</v>
      </c>
      <c r="F57" s="7">
        <f t="shared" si="0"/>
        <v>-1.3120787319353231</v>
      </c>
      <c r="G57" s="7">
        <f t="shared" si="1"/>
        <v>1.7215505987970054</v>
      </c>
    </row>
    <row r="58" spans="1:7">
      <c r="A58" s="7">
        <v>57</v>
      </c>
      <c r="B58" s="7">
        <v>70.180232200000006</v>
      </c>
      <c r="C58" s="7"/>
      <c r="D58" s="15">
        <f t="shared" si="2"/>
        <v>0.22383327229992744</v>
      </c>
      <c r="E58" s="7">
        <f t="shared" si="3"/>
        <v>1.2989579446159698</v>
      </c>
      <c r="F58" s="7">
        <f t="shared" si="0"/>
        <v>-1.0751246723160424</v>
      </c>
      <c r="G58" s="7">
        <f t="shared" si="1"/>
        <v>1.1558930610226774</v>
      </c>
    </row>
    <row r="59" spans="1:7">
      <c r="A59" s="7">
        <v>58</v>
      </c>
      <c r="B59" s="7">
        <v>68.541714760000005</v>
      </c>
      <c r="C59" s="7"/>
      <c r="D59" s="15">
        <f t="shared" si="2"/>
        <v>-1.4146841677000737</v>
      </c>
      <c r="E59" s="7">
        <f t="shared" si="3"/>
        <v>1.0643734255928818</v>
      </c>
      <c r="F59" s="7">
        <f t="shared" si="0"/>
        <v>-2.4790575932929553</v>
      </c>
      <c r="G59" s="7">
        <f t="shared" si="1"/>
        <v>6.1457265508634595</v>
      </c>
    </row>
    <row r="60" spans="1:7">
      <c r="A60" s="7">
        <v>59</v>
      </c>
      <c r="B60" s="7">
        <v>68.700255189999993</v>
      </c>
      <c r="C60" s="7"/>
      <c r="D60" s="15">
        <f t="shared" si="2"/>
        <v>-1.2561437377000857</v>
      </c>
      <c r="E60" s="7">
        <f t="shared" si="3"/>
        <v>2.4542670173600256</v>
      </c>
      <c r="F60" s="7">
        <f t="shared" si="0"/>
        <v>-3.7104107550601113</v>
      </c>
      <c r="G60" s="7">
        <f t="shared" si="1"/>
        <v>13.767147971265745</v>
      </c>
    </row>
    <row r="61" spans="1:7">
      <c r="A61" s="7">
        <v>60</v>
      </c>
      <c r="B61" s="7">
        <v>68.71202289</v>
      </c>
      <c r="C61" s="7"/>
      <c r="D61" s="15">
        <f t="shared" si="2"/>
        <v>-1.2443760377000785</v>
      </c>
      <c r="E61" s="7">
        <f t="shared" si="3"/>
        <v>3.6733066475095102</v>
      </c>
      <c r="F61" s="7">
        <f t="shared" si="0"/>
        <v>-4.9176826852095887</v>
      </c>
      <c r="G61" s="7">
        <f t="shared" si="1"/>
        <v>24.18360299241019</v>
      </c>
    </row>
    <row r="62" spans="1:7">
      <c r="A62" s="7">
        <v>61</v>
      </c>
      <c r="B62" s="7">
        <v>68.684396269999993</v>
      </c>
      <c r="C62" s="7"/>
      <c r="D62" s="15">
        <f t="shared" si="2"/>
        <v>-1.2720026577000851</v>
      </c>
      <c r="E62" s="7">
        <f t="shared" si="3"/>
        <v>4.8685058583574925</v>
      </c>
      <c r="F62" s="7">
        <f t="shared" si="0"/>
        <v>-6.1405085160575776</v>
      </c>
      <c r="G62" s="7">
        <f t="shared" si="1"/>
        <v>37.705844835775636</v>
      </c>
    </row>
    <row r="63" spans="1:7">
      <c r="A63" s="7">
        <v>62</v>
      </c>
      <c r="B63" s="7">
        <v>68.333962540000002</v>
      </c>
      <c r="C63" s="7"/>
      <c r="D63" s="15">
        <f t="shared" si="2"/>
        <v>-1.6224363877000769</v>
      </c>
      <c r="E63" s="7">
        <f t="shared" si="3"/>
        <v>6.0791034308970016</v>
      </c>
      <c r="F63" s="7">
        <f t="shared" si="0"/>
        <v>-7.7015398185970785</v>
      </c>
      <c r="G63" s="7">
        <f t="shared" si="1"/>
        <v>59.313715577436319</v>
      </c>
    </row>
    <row r="64" spans="1:7">
      <c r="A64" s="7">
        <v>63</v>
      </c>
      <c r="B64" s="7">
        <v>69.847547739999996</v>
      </c>
      <c r="C64" s="7"/>
      <c r="D64" s="15">
        <f t="shared" si="2"/>
        <v>-0.10885118770008262</v>
      </c>
      <c r="E64" s="7">
        <f t="shared" si="3"/>
        <v>7.6245244204111078</v>
      </c>
      <c r="F64" s="7">
        <f t="shared" si="0"/>
        <v>-7.7333756081111904</v>
      </c>
      <c r="G64" s="7">
        <f t="shared" si="1"/>
        <v>59.805098296129124</v>
      </c>
    </row>
    <row r="65" spans="1:7">
      <c r="A65" s="7">
        <v>64</v>
      </c>
      <c r="B65" s="7">
        <v>70.506236029999997</v>
      </c>
      <c r="C65" s="7"/>
      <c r="D65" s="15">
        <f t="shared" si="2"/>
        <v>0.549837102299918</v>
      </c>
      <c r="E65" s="7">
        <f t="shared" si="3"/>
        <v>7.6560418520300786</v>
      </c>
      <c r="F65" s="7">
        <f t="shared" si="0"/>
        <v>-7.1062047497301606</v>
      </c>
      <c r="G65" s="7">
        <f t="shared" si="1"/>
        <v>50.498145945087494</v>
      </c>
    </row>
    <row r="66" spans="1:7">
      <c r="A66" s="7">
        <v>65</v>
      </c>
      <c r="B66" s="7">
        <v>69.901311930000006</v>
      </c>
      <c r="C66" s="7"/>
      <c r="D66" s="15">
        <f t="shared" si="2"/>
        <v>-5.508699770007297E-2</v>
      </c>
      <c r="E66" s="7">
        <f t="shared" si="3"/>
        <v>7.035142702232859</v>
      </c>
      <c r="F66" s="7">
        <f t="shared" ref="F66:F129" si="4">D66-E66</f>
        <v>-7.090229699932932</v>
      </c>
      <c r="G66" s="7">
        <f t="shared" ref="G66:G129" si="5">F66^2</f>
        <v>50.271357197811035</v>
      </c>
    </row>
    <row r="67" spans="1:7">
      <c r="A67" s="7">
        <v>66</v>
      </c>
      <c r="B67" s="7">
        <v>69.139578420000007</v>
      </c>
      <c r="C67" s="7"/>
      <c r="D67" s="15">
        <f t="shared" ref="D67:D130" si="6">B67-$C$2</f>
        <v>-0.81682050770007208</v>
      </c>
      <c r="E67" s="7">
        <f t="shared" ref="E67:E130" si="7">-0.99*F66</f>
        <v>7.0193274029336026</v>
      </c>
      <c r="F67" s="7">
        <f t="shared" si="4"/>
        <v>-7.8361479106336747</v>
      </c>
      <c r="G67" s="7">
        <f t="shared" si="5"/>
        <v>61.405214077328502</v>
      </c>
    </row>
    <row r="68" spans="1:7">
      <c r="A68" s="7">
        <v>67</v>
      </c>
      <c r="B68" s="7">
        <v>69.489930369999996</v>
      </c>
      <c r="C68" s="7"/>
      <c r="D68" s="15">
        <f t="shared" si="6"/>
        <v>-0.46646855770008244</v>
      </c>
      <c r="E68" s="7">
        <f t="shared" si="7"/>
        <v>7.7577864315273377</v>
      </c>
      <c r="F68" s="7">
        <f t="shared" si="4"/>
        <v>-8.2242549892274202</v>
      </c>
      <c r="G68" s="7">
        <f t="shared" si="5"/>
        <v>67.638370127832118</v>
      </c>
    </row>
    <row r="69" spans="1:7">
      <c r="A69" s="7">
        <v>68</v>
      </c>
      <c r="B69" s="7">
        <v>71.031279420000004</v>
      </c>
      <c r="C69" s="7"/>
      <c r="D69" s="15">
        <f t="shared" si="6"/>
        <v>1.0748804922999255</v>
      </c>
      <c r="E69" s="7">
        <f t="shared" si="7"/>
        <v>8.1420124393351454</v>
      </c>
      <c r="F69" s="7">
        <f t="shared" si="4"/>
        <v>-7.0671319470352199</v>
      </c>
      <c r="G69" s="7">
        <f t="shared" si="5"/>
        <v>49.94435395680582</v>
      </c>
    </row>
    <row r="70" spans="1:7">
      <c r="A70" s="7">
        <v>69</v>
      </c>
      <c r="B70" s="7">
        <v>68.767572830000006</v>
      </c>
      <c r="C70" s="7"/>
      <c r="D70" s="15">
        <f t="shared" si="6"/>
        <v>-1.1888260977000726</v>
      </c>
      <c r="E70" s="7">
        <f t="shared" si="7"/>
        <v>6.9964606275648675</v>
      </c>
      <c r="F70" s="7">
        <f t="shared" si="4"/>
        <v>-8.1852867252649411</v>
      </c>
      <c r="G70" s="7">
        <f t="shared" si="5"/>
        <v>66.998918774798469</v>
      </c>
    </row>
    <row r="71" spans="1:7">
      <c r="A71" s="7">
        <v>70</v>
      </c>
      <c r="B71" s="7">
        <v>69.328036389999994</v>
      </c>
      <c r="C71" s="7"/>
      <c r="D71" s="15">
        <f t="shared" si="6"/>
        <v>-0.62836253770008454</v>
      </c>
      <c r="E71" s="7">
        <f t="shared" si="7"/>
        <v>8.1034338580122913</v>
      </c>
      <c r="F71" s="7">
        <f t="shared" si="4"/>
        <v>-8.7317963957123759</v>
      </c>
      <c r="G71" s="7">
        <f t="shared" si="5"/>
        <v>76.244268296175633</v>
      </c>
    </row>
    <row r="72" spans="1:7">
      <c r="A72" s="7">
        <v>71</v>
      </c>
      <c r="B72" s="7">
        <v>69.420838009999997</v>
      </c>
      <c r="C72" s="7"/>
      <c r="D72" s="15">
        <f t="shared" si="6"/>
        <v>-0.53556091770008152</v>
      </c>
      <c r="E72" s="7">
        <f t="shared" si="7"/>
        <v>8.6444784317552514</v>
      </c>
      <c r="F72" s="7">
        <f t="shared" si="4"/>
        <v>-9.180039349455333</v>
      </c>
      <c r="G72" s="7">
        <f t="shared" si="5"/>
        <v>84.273122457548297</v>
      </c>
    </row>
    <row r="73" spans="1:7">
      <c r="A73" s="7">
        <v>72</v>
      </c>
      <c r="B73" s="7">
        <v>67.969506050000007</v>
      </c>
      <c r="C73" s="7"/>
      <c r="D73" s="15">
        <f t="shared" si="6"/>
        <v>-1.9868928777000718</v>
      </c>
      <c r="E73" s="7">
        <f t="shared" si="7"/>
        <v>9.0882389559607795</v>
      </c>
      <c r="F73" s="7">
        <f t="shared" si="4"/>
        <v>-11.075131833660851</v>
      </c>
      <c r="G73" s="7">
        <f t="shared" si="5"/>
        <v>122.65854513296797</v>
      </c>
    </row>
    <row r="74" spans="1:7">
      <c r="A74" s="7">
        <v>73</v>
      </c>
      <c r="B74" s="7">
        <v>67.009749139999997</v>
      </c>
      <c r="C74" s="7"/>
      <c r="D74" s="15">
        <f t="shared" si="6"/>
        <v>-2.9466497877000819</v>
      </c>
      <c r="E74" s="7">
        <f t="shared" si="7"/>
        <v>10.964380515324242</v>
      </c>
      <c r="F74" s="7">
        <f t="shared" si="4"/>
        <v>-13.911030303024324</v>
      </c>
      <c r="G74" s="7">
        <f t="shared" si="5"/>
        <v>193.51676409166103</v>
      </c>
    </row>
    <row r="75" spans="1:7">
      <c r="A75" s="7">
        <v>74</v>
      </c>
      <c r="B75" s="7">
        <v>67.902214180000001</v>
      </c>
      <c r="C75" s="7"/>
      <c r="D75" s="15">
        <f t="shared" si="6"/>
        <v>-2.0541847477000772</v>
      </c>
      <c r="E75" s="7">
        <f t="shared" si="7"/>
        <v>13.771919999994081</v>
      </c>
      <c r="F75" s="7">
        <f t="shared" si="4"/>
        <v>-15.826104747694158</v>
      </c>
      <c r="G75" s="7">
        <f t="shared" si="5"/>
        <v>250.46559148498758</v>
      </c>
    </row>
    <row r="76" spans="1:7">
      <c r="A76" s="7">
        <v>75</v>
      </c>
      <c r="B76" s="7">
        <v>69.857913319999994</v>
      </c>
      <c r="C76" s="7"/>
      <c r="D76" s="15">
        <f t="shared" si="6"/>
        <v>-9.8485607700084188E-2</v>
      </c>
      <c r="E76" s="7">
        <f t="shared" si="7"/>
        <v>15.667843700217217</v>
      </c>
      <c r="F76" s="7">
        <f t="shared" si="4"/>
        <v>-15.766329307917301</v>
      </c>
      <c r="G76" s="7">
        <f t="shared" si="5"/>
        <v>248.57713984569205</v>
      </c>
    </row>
    <row r="77" spans="1:7">
      <c r="A77" s="7">
        <v>76</v>
      </c>
      <c r="B77" s="7">
        <v>70.937146670000004</v>
      </c>
      <c r="C77" s="7"/>
      <c r="D77" s="15">
        <f t="shared" si="6"/>
        <v>0.98074774229992556</v>
      </c>
      <c r="E77" s="7">
        <f t="shared" si="7"/>
        <v>15.608666014838128</v>
      </c>
      <c r="F77" s="7">
        <f t="shared" si="4"/>
        <v>-14.627918272538203</v>
      </c>
      <c r="G77" s="7">
        <f t="shared" si="5"/>
        <v>213.97599298805704</v>
      </c>
    </row>
    <row r="78" spans="1:7">
      <c r="A78" s="7">
        <v>77</v>
      </c>
      <c r="B78" s="7">
        <v>69.665932440000006</v>
      </c>
      <c r="C78" s="7"/>
      <c r="D78" s="15">
        <f t="shared" si="6"/>
        <v>-0.29046648770007266</v>
      </c>
      <c r="E78" s="7">
        <f t="shared" si="7"/>
        <v>14.481639089812822</v>
      </c>
      <c r="F78" s="7">
        <f t="shared" si="4"/>
        <v>-14.772105577512894</v>
      </c>
      <c r="G78" s="7">
        <f t="shared" si="5"/>
        <v>218.21510319318756</v>
      </c>
    </row>
    <row r="79" spans="1:7">
      <c r="A79" s="7">
        <v>78</v>
      </c>
      <c r="B79" s="7">
        <v>70.535436450000006</v>
      </c>
      <c r="C79" s="7"/>
      <c r="D79" s="15">
        <f t="shared" si="6"/>
        <v>0.57903752229992733</v>
      </c>
      <c r="E79" s="7">
        <f t="shared" si="7"/>
        <v>14.624384521737765</v>
      </c>
      <c r="F79" s="7">
        <f t="shared" si="4"/>
        <v>-14.045346999437838</v>
      </c>
      <c r="G79" s="7">
        <f t="shared" si="5"/>
        <v>197.27177233461748</v>
      </c>
    </row>
    <row r="80" spans="1:7">
      <c r="A80" s="7">
        <v>79</v>
      </c>
      <c r="B80" s="7">
        <v>71.844465639999996</v>
      </c>
      <c r="C80" s="7"/>
      <c r="D80" s="15">
        <f t="shared" si="6"/>
        <v>1.8880667122999171</v>
      </c>
      <c r="E80" s="7">
        <f t="shared" si="7"/>
        <v>13.904893529443459</v>
      </c>
      <c r="F80" s="7">
        <f t="shared" si="4"/>
        <v>-12.016826817143542</v>
      </c>
      <c r="G80" s="7">
        <f t="shared" si="5"/>
        <v>144.4041267532202</v>
      </c>
    </row>
    <row r="81" spans="1:7">
      <c r="A81" s="7">
        <v>80</v>
      </c>
      <c r="B81" s="7">
        <v>71.342135029999994</v>
      </c>
      <c r="C81" s="7"/>
      <c r="D81" s="15">
        <f t="shared" si="6"/>
        <v>1.3857361022999157</v>
      </c>
      <c r="E81" s="7">
        <f t="shared" si="7"/>
        <v>11.896658548972107</v>
      </c>
      <c r="F81" s="7">
        <f t="shared" si="4"/>
        <v>-10.510922446672192</v>
      </c>
      <c r="G81" s="7">
        <f t="shared" si="5"/>
        <v>110.47949067995732</v>
      </c>
    </row>
    <row r="82" spans="1:7">
      <c r="A82" s="7">
        <v>81</v>
      </c>
      <c r="B82" s="7">
        <v>69.66053866</v>
      </c>
      <c r="C82" s="7"/>
      <c r="D82" s="15">
        <f t="shared" si="6"/>
        <v>-0.29586026770007834</v>
      </c>
      <c r="E82" s="7">
        <f t="shared" si="7"/>
        <v>10.40581322220547</v>
      </c>
      <c r="F82" s="7">
        <f t="shared" si="4"/>
        <v>-10.701673489905549</v>
      </c>
      <c r="G82" s="7">
        <f t="shared" si="5"/>
        <v>114.52581548454721</v>
      </c>
    </row>
    <row r="83" spans="1:7">
      <c r="A83" s="7">
        <v>82</v>
      </c>
      <c r="B83" s="7">
        <v>70.518101869999995</v>
      </c>
      <c r="C83" s="7"/>
      <c r="D83" s="15">
        <f t="shared" si="6"/>
        <v>0.56170294229991669</v>
      </c>
      <c r="E83" s="7">
        <f t="shared" si="7"/>
        <v>10.594656755006493</v>
      </c>
      <c r="F83" s="7">
        <f t="shared" si="4"/>
        <v>-10.032953812706577</v>
      </c>
      <c r="G83" s="7">
        <f t="shared" si="5"/>
        <v>100.66016220790344</v>
      </c>
    </row>
    <row r="84" spans="1:7">
      <c r="A84" s="7">
        <v>83</v>
      </c>
      <c r="B84" s="7">
        <v>71.168095219999998</v>
      </c>
      <c r="C84" s="7"/>
      <c r="D84" s="15">
        <f t="shared" si="6"/>
        <v>1.2116962922999193</v>
      </c>
      <c r="E84" s="7">
        <f t="shared" si="7"/>
        <v>9.9326242745795117</v>
      </c>
      <c r="F84" s="7">
        <f t="shared" si="4"/>
        <v>-8.7209279822795924</v>
      </c>
      <c r="G84" s="7">
        <f t="shared" si="5"/>
        <v>76.054584872107199</v>
      </c>
    </row>
    <row r="85" spans="1:7">
      <c r="A85" s="7">
        <v>84</v>
      </c>
      <c r="B85" s="7">
        <v>71.412833980000002</v>
      </c>
      <c r="C85" s="7"/>
      <c r="D85" s="15">
        <f t="shared" si="6"/>
        <v>1.4564350522999234</v>
      </c>
      <c r="E85" s="7">
        <f t="shared" si="7"/>
        <v>8.6337187024567967</v>
      </c>
      <c r="F85" s="7">
        <f t="shared" si="4"/>
        <v>-7.1772836501568733</v>
      </c>
      <c r="G85" s="7">
        <f t="shared" si="5"/>
        <v>51.51340059480917</v>
      </c>
    </row>
    <row r="86" spans="1:7">
      <c r="A86" s="7">
        <v>85</v>
      </c>
      <c r="B86" s="7">
        <v>69.840808150000001</v>
      </c>
      <c r="C86" s="7"/>
      <c r="D86" s="15">
        <f t="shared" si="6"/>
        <v>-0.11559077770007775</v>
      </c>
      <c r="E86" s="7">
        <f t="shared" si="7"/>
        <v>7.1055108136553047</v>
      </c>
      <c r="F86" s="7">
        <f t="shared" si="4"/>
        <v>-7.2211015913553824</v>
      </c>
      <c r="G86" s="7">
        <f t="shared" si="5"/>
        <v>52.14430819267524</v>
      </c>
    </row>
    <row r="87" spans="1:7">
      <c r="A87" s="7">
        <v>86</v>
      </c>
      <c r="B87" s="7">
        <v>66.646080190000006</v>
      </c>
      <c r="C87" s="7"/>
      <c r="D87" s="15">
        <f t="shared" si="6"/>
        <v>-3.3103187377000722</v>
      </c>
      <c r="E87" s="7">
        <f t="shared" si="7"/>
        <v>7.1488905754418282</v>
      </c>
      <c r="F87" s="7">
        <f t="shared" si="4"/>
        <v>-10.459209313141901</v>
      </c>
      <c r="G87" s="7">
        <f t="shared" si="5"/>
        <v>109.39505945611428</v>
      </c>
    </row>
    <row r="88" spans="1:7">
      <c r="A88" s="7">
        <v>87</v>
      </c>
      <c r="B88" s="7">
        <v>70.152196689999997</v>
      </c>
      <c r="C88" s="7"/>
      <c r="D88" s="15">
        <f t="shared" si="6"/>
        <v>0.19579776229991808</v>
      </c>
      <c r="E88" s="7">
        <f t="shared" si="7"/>
        <v>10.354617220010482</v>
      </c>
      <c r="F88" s="7">
        <f t="shared" si="4"/>
        <v>-10.158819457710564</v>
      </c>
      <c r="G88" s="7">
        <f t="shared" si="5"/>
        <v>103.20161277435875</v>
      </c>
    </row>
    <row r="89" spans="1:7">
      <c r="A89" s="7">
        <v>88</v>
      </c>
      <c r="B89" s="7">
        <v>69.486615549999996</v>
      </c>
      <c r="C89" s="7"/>
      <c r="D89" s="15">
        <f t="shared" si="6"/>
        <v>-0.46978337770008238</v>
      </c>
      <c r="E89" s="7">
        <f t="shared" si="7"/>
        <v>10.057231263133458</v>
      </c>
      <c r="F89" s="7">
        <f t="shared" si="4"/>
        <v>-10.52701464083354</v>
      </c>
      <c r="G89" s="7">
        <f t="shared" si="5"/>
        <v>110.81803724832371</v>
      </c>
    </row>
    <row r="90" spans="1:7">
      <c r="A90" s="7">
        <v>89</v>
      </c>
      <c r="B90" s="7">
        <v>69.610542249999995</v>
      </c>
      <c r="C90" s="7"/>
      <c r="D90" s="15">
        <f t="shared" si="6"/>
        <v>-0.34585667770008399</v>
      </c>
      <c r="E90" s="7">
        <f t="shared" si="7"/>
        <v>10.421744494425205</v>
      </c>
      <c r="F90" s="7">
        <f t="shared" si="4"/>
        <v>-10.767601172125289</v>
      </c>
      <c r="G90" s="7">
        <f t="shared" si="5"/>
        <v>115.9412350019539</v>
      </c>
    </row>
    <row r="91" spans="1:7">
      <c r="A91" s="7">
        <v>90</v>
      </c>
      <c r="B91" s="7">
        <v>72.301086040000001</v>
      </c>
      <c r="C91" s="7"/>
      <c r="D91" s="15">
        <f t="shared" si="6"/>
        <v>2.3446871122999227</v>
      </c>
      <c r="E91" s="7">
        <f t="shared" si="7"/>
        <v>10.659925160404036</v>
      </c>
      <c r="F91" s="7">
        <f t="shared" si="4"/>
        <v>-8.3152380481041135</v>
      </c>
      <c r="G91" s="7">
        <f t="shared" si="5"/>
        <v>69.143183796638311</v>
      </c>
    </row>
    <row r="92" spans="1:7">
      <c r="A92" s="7">
        <v>91</v>
      </c>
      <c r="B92" s="7">
        <v>71.828065699999996</v>
      </c>
      <c r="C92" s="7"/>
      <c r="D92" s="15">
        <f t="shared" si="6"/>
        <v>1.8716667722999176</v>
      </c>
      <c r="E92" s="7">
        <f t="shared" si="7"/>
        <v>8.2320856676230729</v>
      </c>
      <c r="F92" s="7">
        <f t="shared" si="4"/>
        <v>-6.3604188953231553</v>
      </c>
      <c r="G92" s="7">
        <f t="shared" si="5"/>
        <v>40.454928523983824</v>
      </c>
    </row>
    <row r="93" spans="1:7">
      <c r="A93" s="7">
        <v>92</v>
      </c>
      <c r="B93" s="7">
        <v>71.355760079999996</v>
      </c>
      <c r="C93" s="7"/>
      <c r="D93" s="15">
        <f t="shared" si="6"/>
        <v>1.3993611522999174</v>
      </c>
      <c r="E93" s="7">
        <f t="shared" si="7"/>
        <v>6.2968147063699238</v>
      </c>
      <c r="F93" s="7">
        <f t="shared" si="4"/>
        <v>-4.8974535540700064</v>
      </c>
      <c r="G93" s="7">
        <f t="shared" si="5"/>
        <v>23.985051314272937</v>
      </c>
    </row>
    <row r="94" spans="1:7">
      <c r="A94" s="7">
        <v>93</v>
      </c>
      <c r="B94" s="7">
        <v>68.762639770000007</v>
      </c>
      <c r="C94" s="7"/>
      <c r="D94" s="15">
        <f t="shared" si="6"/>
        <v>-1.1937591577000717</v>
      </c>
      <c r="E94" s="7">
        <f t="shared" si="7"/>
        <v>4.8484790185293063</v>
      </c>
      <c r="F94" s="7">
        <f t="shared" si="4"/>
        <v>-6.042238176229378</v>
      </c>
      <c r="G94" s="7">
        <f t="shared" si="5"/>
        <v>36.508642178283722</v>
      </c>
    </row>
    <row r="95" spans="1:7">
      <c r="A95" s="7">
        <v>94</v>
      </c>
      <c r="B95" s="7">
        <v>67.073188880000004</v>
      </c>
      <c r="C95" s="7"/>
      <c r="D95" s="15">
        <f t="shared" si="6"/>
        <v>-2.8832100477000751</v>
      </c>
      <c r="E95" s="7">
        <f t="shared" si="7"/>
        <v>5.9818157944670842</v>
      </c>
      <c r="F95" s="7">
        <f t="shared" si="4"/>
        <v>-8.8650258421671602</v>
      </c>
      <c r="G95" s="7">
        <f t="shared" si="5"/>
        <v>78.588683182291561</v>
      </c>
    </row>
    <row r="96" spans="1:7">
      <c r="A96" s="7">
        <v>95</v>
      </c>
      <c r="B96" s="7">
        <v>68.082418610000005</v>
      </c>
      <c r="C96" s="7"/>
      <c r="D96" s="15">
        <f t="shared" si="6"/>
        <v>-1.8739803177000738</v>
      </c>
      <c r="E96" s="7">
        <f t="shared" si="7"/>
        <v>8.7763755837454891</v>
      </c>
      <c r="F96" s="7">
        <f t="shared" si="4"/>
        <v>-10.650355901445563</v>
      </c>
      <c r="G96" s="7">
        <f t="shared" si="5"/>
        <v>113.43008082745632</v>
      </c>
    </row>
    <row r="97" spans="1:7">
      <c r="A97" s="7">
        <v>96</v>
      </c>
      <c r="B97" s="7">
        <v>70.818244230000005</v>
      </c>
      <c r="C97" s="7"/>
      <c r="D97" s="15">
        <f t="shared" si="6"/>
        <v>0.86184530229992617</v>
      </c>
      <c r="E97" s="7">
        <f t="shared" si="7"/>
        <v>10.543852342431107</v>
      </c>
      <c r="F97" s="7">
        <f t="shared" si="4"/>
        <v>-9.6820070401311806</v>
      </c>
      <c r="G97" s="7">
        <f t="shared" si="5"/>
        <v>93.741260325149739</v>
      </c>
    </row>
    <row r="98" spans="1:7">
      <c r="A98" s="7">
        <v>97</v>
      </c>
      <c r="B98" s="7">
        <v>70.719971509999993</v>
      </c>
      <c r="C98" s="7"/>
      <c r="D98" s="15">
        <f t="shared" si="6"/>
        <v>0.76357258229991487</v>
      </c>
      <c r="E98" s="7">
        <f t="shared" si="7"/>
        <v>9.5851869697298682</v>
      </c>
      <c r="F98" s="7">
        <f t="shared" si="4"/>
        <v>-8.8216143874299533</v>
      </c>
      <c r="G98" s="7">
        <f t="shared" si="5"/>
        <v>77.820880400511143</v>
      </c>
    </row>
    <row r="99" spans="1:7">
      <c r="A99" s="7">
        <v>98</v>
      </c>
      <c r="B99" s="7">
        <v>69.391873320000002</v>
      </c>
      <c r="C99" s="7"/>
      <c r="D99" s="15">
        <f t="shared" si="6"/>
        <v>-0.56452560770007665</v>
      </c>
      <c r="E99" s="7">
        <f t="shared" si="7"/>
        <v>8.7333982435556532</v>
      </c>
      <c r="F99" s="7">
        <f t="shared" si="4"/>
        <v>-9.2979238512557298</v>
      </c>
      <c r="G99" s="7">
        <f t="shared" si="5"/>
        <v>86.451387943750177</v>
      </c>
    </row>
    <row r="100" spans="1:7">
      <c r="A100" s="7">
        <v>99</v>
      </c>
      <c r="B100" s="7">
        <v>69.617099830000001</v>
      </c>
      <c r="C100" s="7"/>
      <c r="D100" s="15">
        <f t="shared" si="6"/>
        <v>-0.33929909770007782</v>
      </c>
      <c r="E100" s="7">
        <f t="shared" si="7"/>
        <v>9.2049446127431729</v>
      </c>
      <c r="F100" s="7">
        <f t="shared" si="4"/>
        <v>-9.5442437104432507</v>
      </c>
      <c r="G100" s="7">
        <f t="shared" si="5"/>
        <v>91.092588004335553</v>
      </c>
    </row>
    <row r="101" spans="1:7">
      <c r="A101" s="7">
        <v>100</v>
      </c>
      <c r="B101" s="7">
        <v>71.034633119999995</v>
      </c>
      <c r="C101" s="7"/>
      <c r="D101" s="15">
        <f t="shared" si="6"/>
        <v>1.0782341922999166</v>
      </c>
      <c r="E101" s="7">
        <f t="shared" si="7"/>
        <v>9.4488012733388178</v>
      </c>
      <c r="F101" s="7">
        <f t="shared" si="4"/>
        <v>-8.3705670810389012</v>
      </c>
      <c r="G101" s="7">
        <f t="shared" si="5"/>
        <v>70.066393258172113</v>
      </c>
    </row>
    <row r="102" spans="1:7">
      <c r="A102" s="7">
        <v>101</v>
      </c>
      <c r="B102" s="7">
        <v>69.290709719999995</v>
      </c>
      <c r="C102" s="7"/>
      <c r="D102" s="15">
        <f t="shared" si="6"/>
        <v>-0.66568920770008333</v>
      </c>
      <c r="E102" s="7">
        <f t="shared" si="7"/>
        <v>8.2868614102285125</v>
      </c>
      <c r="F102" s="7">
        <f t="shared" si="4"/>
        <v>-8.9525506179285959</v>
      </c>
      <c r="G102" s="7">
        <f t="shared" si="5"/>
        <v>80.148162566573689</v>
      </c>
    </row>
    <row r="103" spans="1:7">
      <c r="A103" s="7">
        <v>102</v>
      </c>
      <c r="B103" s="7">
        <v>68.053492899999995</v>
      </c>
      <c r="C103" s="7"/>
      <c r="D103" s="15">
        <f t="shared" si="6"/>
        <v>-1.9029060277000838</v>
      </c>
      <c r="E103" s="7">
        <f t="shared" si="7"/>
        <v>8.8630251117493106</v>
      </c>
      <c r="F103" s="7">
        <f t="shared" si="4"/>
        <v>-10.765931139449394</v>
      </c>
      <c r="G103" s="7">
        <f t="shared" si="5"/>
        <v>115.90527329936613</v>
      </c>
    </row>
    <row r="104" spans="1:7">
      <c r="A104" s="7">
        <v>103</v>
      </c>
      <c r="B104" s="7">
        <v>68.25621357</v>
      </c>
      <c r="C104" s="7"/>
      <c r="D104" s="15">
        <f t="shared" si="6"/>
        <v>-1.7001853577000787</v>
      </c>
      <c r="E104" s="7">
        <f t="shared" si="7"/>
        <v>10.6582718280549</v>
      </c>
      <c r="F104" s="7">
        <f t="shared" si="4"/>
        <v>-12.358457185754979</v>
      </c>
      <c r="G104" s="7">
        <f t="shared" si="5"/>
        <v>152.73146401213887</v>
      </c>
    </row>
    <row r="105" spans="1:7">
      <c r="A105" s="7">
        <v>104</v>
      </c>
      <c r="B105" s="7">
        <v>70.632318650000002</v>
      </c>
      <c r="C105" s="7"/>
      <c r="D105" s="15">
        <f t="shared" si="6"/>
        <v>0.67591972229992336</v>
      </c>
      <c r="E105" s="7">
        <f t="shared" si="7"/>
        <v>12.234872613897428</v>
      </c>
      <c r="F105" s="7">
        <f t="shared" si="4"/>
        <v>-11.558952891597505</v>
      </c>
      <c r="G105" s="7">
        <f t="shared" si="5"/>
        <v>133.60939195017031</v>
      </c>
    </row>
    <row r="106" spans="1:7">
      <c r="A106" s="7">
        <v>105</v>
      </c>
      <c r="B106" s="7">
        <v>71.137348639999999</v>
      </c>
      <c r="C106" s="7"/>
      <c r="D106" s="15">
        <f t="shared" si="6"/>
        <v>1.1809497122999204</v>
      </c>
      <c r="E106" s="7">
        <f t="shared" si="7"/>
        <v>11.443363362681529</v>
      </c>
      <c r="F106" s="7">
        <f t="shared" si="4"/>
        <v>-10.262413650381609</v>
      </c>
      <c r="G106" s="7">
        <f t="shared" si="5"/>
        <v>105.31713393153878</v>
      </c>
    </row>
    <row r="107" spans="1:7">
      <c r="A107" s="7">
        <v>106</v>
      </c>
      <c r="B107" s="7">
        <v>72.624866999999995</v>
      </c>
      <c r="C107" s="7"/>
      <c r="D107" s="15">
        <f t="shared" si="6"/>
        <v>2.6684680722999161</v>
      </c>
      <c r="E107" s="7">
        <f t="shared" si="7"/>
        <v>10.159789513877792</v>
      </c>
      <c r="F107" s="7">
        <f t="shared" si="4"/>
        <v>-7.4913214415778757</v>
      </c>
      <c r="G107" s="7">
        <f t="shared" si="5"/>
        <v>56.119896941044423</v>
      </c>
    </row>
    <row r="108" spans="1:7">
      <c r="A108" s="7">
        <v>107</v>
      </c>
      <c r="B108" s="7">
        <v>72.170161329999999</v>
      </c>
      <c r="C108" s="7"/>
      <c r="D108" s="15">
        <f t="shared" si="6"/>
        <v>2.2137624022999205</v>
      </c>
      <c r="E108" s="7">
        <f t="shared" si="7"/>
        <v>7.4164082271620968</v>
      </c>
      <c r="F108" s="7">
        <f t="shared" si="4"/>
        <v>-5.2026458248621763</v>
      </c>
      <c r="G108" s="7">
        <f t="shared" si="5"/>
        <v>27.067523578955836</v>
      </c>
    </row>
    <row r="109" spans="1:7">
      <c r="A109" s="7">
        <v>108</v>
      </c>
      <c r="B109" s="7">
        <v>70.479541519999998</v>
      </c>
      <c r="C109" s="7"/>
      <c r="D109" s="15">
        <f t="shared" si="6"/>
        <v>0.52314259229991933</v>
      </c>
      <c r="E109" s="7">
        <f t="shared" si="7"/>
        <v>5.1506193666135545</v>
      </c>
      <c r="F109" s="7">
        <f t="shared" si="4"/>
        <v>-4.6274767743136351</v>
      </c>
      <c r="G109" s="7">
        <f t="shared" si="5"/>
        <v>21.413541296812127</v>
      </c>
    </row>
    <row r="110" spans="1:7">
      <c r="A110" s="7">
        <v>109</v>
      </c>
      <c r="B110" s="7">
        <v>70.901754350000004</v>
      </c>
      <c r="C110" s="7"/>
      <c r="D110" s="15">
        <f t="shared" si="6"/>
        <v>0.94535542229992586</v>
      </c>
      <c r="E110" s="7">
        <f t="shared" si="7"/>
        <v>4.581202006570499</v>
      </c>
      <c r="F110" s="7">
        <f t="shared" si="4"/>
        <v>-3.6358465842705732</v>
      </c>
      <c r="G110" s="7">
        <f t="shared" si="5"/>
        <v>13.219380384351995</v>
      </c>
    </row>
    <row r="111" spans="1:7">
      <c r="A111" s="7">
        <v>110</v>
      </c>
      <c r="B111" s="7">
        <v>70.608687169999996</v>
      </c>
      <c r="C111" s="7"/>
      <c r="D111" s="15">
        <f t="shared" si="6"/>
        <v>0.65228824229991744</v>
      </c>
      <c r="E111" s="7">
        <f t="shared" si="7"/>
        <v>3.5994881184278675</v>
      </c>
      <c r="F111" s="7">
        <f t="shared" si="4"/>
        <v>-2.9471998761279501</v>
      </c>
      <c r="G111" s="7">
        <f t="shared" si="5"/>
        <v>8.6859871098486039</v>
      </c>
    </row>
    <row r="112" spans="1:7">
      <c r="A112" s="7">
        <v>111</v>
      </c>
      <c r="B112" s="7">
        <v>69.389764639999996</v>
      </c>
      <c r="C112" s="7"/>
      <c r="D112" s="15">
        <f t="shared" si="6"/>
        <v>-0.56663428770008295</v>
      </c>
      <c r="E112" s="7">
        <f t="shared" si="7"/>
        <v>2.9177278773666706</v>
      </c>
      <c r="F112" s="7">
        <f t="shared" si="4"/>
        <v>-3.4843621650667536</v>
      </c>
      <c r="G112" s="7">
        <f t="shared" si="5"/>
        <v>12.140779697348675</v>
      </c>
    </row>
    <row r="113" spans="1:7">
      <c r="A113" s="7">
        <v>112</v>
      </c>
      <c r="B113" s="7">
        <v>70.131227480000007</v>
      </c>
      <c r="C113" s="7"/>
      <c r="D113" s="15">
        <f t="shared" si="6"/>
        <v>0.17482855229992822</v>
      </c>
      <c r="E113" s="7">
        <f t="shared" si="7"/>
        <v>3.4495185434160862</v>
      </c>
      <c r="F113" s="7">
        <f t="shared" si="4"/>
        <v>-3.274689991116158</v>
      </c>
      <c r="G113" s="7">
        <f t="shared" si="5"/>
        <v>10.723594537916343</v>
      </c>
    </row>
    <row r="114" spans="1:7">
      <c r="A114" s="7">
        <v>113</v>
      </c>
      <c r="B114" s="7">
        <v>69.565480440000002</v>
      </c>
      <c r="C114" s="7"/>
      <c r="D114" s="15">
        <f t="shared" si="6"/>
        <v>-0.39091848770007687</v>
      </c>
      <c r="E114" s="7">
        <f t="shared" si="7"/>
        <v>3.2419430912049965</v>
      </c>
      <c r="F114" s="7">
        <f t="shared" si="4"/>
        <v>-3.6328615789050733</v>
      </c>
      <c r="G114" s="7">
        <f t="shared" si="5"/>
        <v>13.197683251484662</v>
      </c>
    </row>
    <row r="115" spans="1:7">
      <c r="A115" s="7">
        <v>114</v>
      </c>
      <c r="B115" s="7">
        <v>69.409522920000001</v>
      </c>
      <c r="C115" s="7"/>
      <c r="D115" s="15">
        <f t="shared" si="6"/>
        <v>-0.54687600770007805</v>
      </c>
      <c r="E115" s="7">
        <f t="shared" si="7"/>
        <v>3.5965329631160228</v>
      </c>
      <c r="F115" s="7">
        <f t="shared" si="4"/>
        <v>-4.1434089708161004</v>
      </c>
      <c r="G115" s="7">
        <f t="shared" si="5"/>
        <v>17.167837899439338</v>
      </c>
    </row>
    <row r="116" spans="1:7">
      <c r="A116" s="7">
        <v>115</v>
      </c>
      <c r="B116" s="7">
        <v>71.103852320000001</v>
      </c>
      <c r="C116" s="7"/>
      <c r="D116" s="15">
        <f t="shared" si="6"/>
        <v>1.1474533922999228</v>
      </c>
      <c r="E116" s="7">
        <f t="shared" si="7"/>
        <v>4.1019748811079397</v>
      </c>
      <c r="F116" s="7">
        <f t="shared" si="4"/>
        <v>-2.9545214888080169</v>
      </c>
      <c r="G116" s="7">
        <f t="shared" si="5"/>
        <v>8.7291972278283403</v>
      </c>
    </row>
    <row r="117" spans="1:7">
      <c r="A117" s="7">
        <v>116</v>
      </c>
      <c r="B117" s="7">
        <v>70.738173029999999</v>
      </c>
      <c r="C117" s="7"/>
      <c r="D117" s="15">
        <f t="shared" si="6"/>
        <v>0.78177410229992006</v>
      </c>
      <c r="E117" s="7">
        <f t="shared" si="7"/>
        <v>2.9249762739199365</v>
      </c>
      <c r="F117" s="7">
        <f t="shared" si="4"/>
        <v>-2.1432021716200165</v>
      </c>
      <c r="G117" s="7">
        <f t="shared" si="5"/>
        <v>4.5933155484367543</v>
      </c>
    </row>
    <row r="118" spans="1:7">
      <c r="A118" s="7">
        <v>117</v>
      </c>
      <c r="B118" s="7">
        <v>69.308606729999994</v>
      </c>
      <c r="C118" s="7"/>
      <c r="D118" s="15">
        <f t="shared" si="6"/>
        <v>-0.64779219770008467</v>
      </c>
      <c r="E118" s="7">
        <f t="shared" si="7"/>
        <v>2.1217701499038162</v>
      </c>
      <c r="F118" s="7">
        <f t="shared" si="4"/>
        <v>-2.7695623476039009</v>
      </c>
      <c r="G118" s="7">
        <f t="shared" si="5"/>
        <v>7.6704755972652308</v>
      </c>
    </row>
    <row r="119" spans="1:7">
      <c r="A119" s="7">
        <v>118</v>
      </c>
      <c r="B119" s="7">
        <v>68.899374440000003</v>
      </c>
      <c r="C119" s="7"/>
      <c r="D119" s="15">
        <f t="shared" si="6"/>
        <v>-1.0570244877000761</v>
      </c>
      <c r="E119" s="7">
        <f t="shared" si="7"/>
        <v>2.741866724127862</v>
      </c>
      <c r="F119" s="7">
        <f t="shared" si="4"/>
        <v>-3.7988912118279381</v>
      </c>
      <c r="G119" s="7">
        <f t="shared" si="5"/>
        <v>14.431574439303541</v>
      </c>
    </row>
    <row r="120" spans="1:7">
      <c r="A120" s="7">
        <v>119</v>
      </c>
      <c r="B120" s="7">
        <v>70.568833229999996</v>
      </c>
      <c r="C120" s="7"/>
      <c r="D120" s="15">
        <f t="shared" si="6"/>
        <v>0.61243430229991702</v>
      </c>
      <c r="E120" s="7">
        <f t="shared" si="7"/>
        <v>3.7609022997096586</v>
      </c>
      <c r="F120" s="7">
        <f t="shared" si="4"/>
        <v>-3.1484679974097416</v>
      </c>
      <c r="G120" s="7">
        <f t="shared" si="5"/>
        <v>9.9128507307133091</v>
      </c>
    </row>
    <row r="121" spans="1:7">
      <c r="A121" s="7">
        <v>120</v>
      </c>
      <c r="B121" s="7">
        <v>70.118946930000007</v>
      </c>
      <c r="C121" s="7"/>
      <c r="D121" s="15">
        <f t="shared" si="6"/>
        <v>0.16254800229992838</v>
      </c>
      <c r="E121" s="7">
        <f t="shared" si="7"/>
        <v>3.1169833174356443</v>
      </c>
      <c r="F121" s="7">
        <f t="shared" si="4"/>
        <v>-2.9544353151357159</v>
      </c>
      <c r="G121" s="7">
        <f t="shared" si="5"/>
        <v>8.7286880313210773</v>
      </c>
    </row>
    <row r="122" spans="1:7">
      <c r="A122" s="7">
        <v>121</v>
      </c>
      <c r="B122" s="7">
        <v>69.513847339999998</v>
      </c>
      <c r="C122" s="7"/>
      <c r="D122" s="15">
        <f t="shared" si="6"/>
        <v>-0.44255158770008052</v>
      </c>
      <c r="E122" s="7">
        <f t="shared" si="7"/>
        <v>2.9248909619843588</v>
      </c>
      <c r="F122" s="7">
        <f t="shared" si="4"/>
        <v>-3.3674425496844393</v>
      </c>
      <c r="G122" s="7">
        <f t="shared" si="5"/>
        <v>11.339669325425238</v>
      </c>
    </row>
    <row r="123" spans="1:7">
      <c r="A123" s="7">
        <v>122</v>
      </c>
      <c r="B123" s="7">
        <v>69.162331589999994</v>
      </c>
      <c r="C123" s="7"/>
      <c r="D123" s="15">
        <f t="shared" si="6"/>
        <v>-0.79406733770008486</v>
      </c>
      <c r="E123" s="7">
        <f t="shared" si="7"/>
        <v>3.3337681241875949</v>
      </c>
      <c r="F123" s="7">
        <f t="shared" si="4"/>
        <v>-4.1278354618876794</v>
      </c>
      <c r="G123" s="7">
        <f t="shared" si="5"/>
        <v>17.039025600417471</v>
      </c>
    </row>
    <row r="124" spans="1:7">
      <c r="A124" s="7">
        <v>123</v>
      </c>
      <c r="B124" s="7">
        <v>69.827170240000001</v>
      </c>
      <c r="C124" s="7"/>
      <c r="D124" s="15">
        <f t="shared" si="6"/>
        <v>-0.12922868770007767</v>
      </c>
      <c r="E124" s="7">
        <f t="shared" si="7"/>
        <v>4.0865571072688027</v>
      </c>
      <c r="F124" s="7">
        <f t="shared" si="4"/>
        <v>-4.2157857949688804</v>
      </c>
      <c r="G124" s="7">
        <f t="shared" si="5"/>
        <v>17.772849869061396</v>
      </c>
    </row>
    <row r="125" spans="1:7">
      <c r="A125" s="7">
        <v>124</v>
      </c>
      <c r="B125" s="7">
        <v>69.762112909999999</v>
      </c>
      <c r="C125" s="7"/>
      <c r="D125" s="15">
        <f t="shared" si="6"/>
        <v>-0.19428601770007958</v>
      </c>
      <c r="E125" s="7">
        <f t="shared" si="7"/>
        <v>4.1736279370191918</v>
      </c>
      <c r="F125" s="7">
        <f t="shared" si="4"/>
        <v>-4.3679139547192714</v>
      </c>
      <c r="G125" s="7">
        <f t="shared" si="5"/>
        <v>19.078672315831344</v>
      </c>
    </row>
    <row r="126" spans="1:7">
      <c r="A126" s="7">
        <v>125</v>
      </c>
      <c r="B126" s="7">
        <v>68.30728062</v>
      </c>
      <c r="C126" s="7"/>
      <c r="D126" s="15">
        <f t="shared" si="6"/>
        <v>-1.6491183077000784</v>
      </c>
      <c r="E126" s="7">
        <f t="shared" si="7"/>
        <v>4.3242348151720789</v>
      </c>
      <c r="F126" s="7">
        <f t="shared" si="4"/>
        <v>-5.9733531228721573</v>
      </c>
      <c r="G126" s="7">
        <f t="shared" si="5"/>
        <v>35.680947530526552</v>
      </c>
    </row>
    <row r="127" spans="1:7">
      <c r="A127" s="7">
        <v>126</v>
      </c>
      <c r="B127" s="7">
        <v>68.168553560000007</v>
      </c>
      <c r="C127" s="7"/>
      <c r="D127" s="15">
        <f t="shared" si="6"/>
        <v>-1.7878453677000721</v>
      </c>
      <c r="E127" s="7">
        <f t="shared" si="7"/>
        <v>5.9136195916434353</v>
      </c>
      <c r="F127" s="7">
        <f t="shared" si="4"/>
        <v>-7.7014649593435074</v>
      </c>
      <c r="G127" s="7">
        <f t="shared" si="5"/>
        <v>59.312562519995893</v>
      </c>
    </row>
    <row r="128" spans="1:7">
      <c r="A128" s="7">
        <v>127</v>
      </c>
      <c r="B128" s="7">
        <v>68.476158909999995</v>
      </c>
      <c r="C128" s="7"/>
      <c r="D128" s="15">
        <f t="shared" si="6"/>
        <v>-1.4802400177000834</v>
      </c>
      <c r="E128" s="7">
        <f t="shared" si="7"/>
        <v>7.6244503097500722</v>
      </c>
      <c r="F128" s="7">
        <f t="shared" si="4"/>
        <v>-9.1046903274501556</v>
      </c>
      <c r="G128" s="7">
        <f t="shared" si="5"/>
        <v>82.895385958764422</v>
      </c>
    </row>
    <row r="129" spans="1:7">
      <c r="A129" s="7">
        <v>128</v>
      </c>
      <c r="B129" s="7">
        <v>70.878448660000004</v>
      </c>
      <c r="C129" s="7"/>
      <c r="D129" s="15">
        <f t="shared" si="6"/>
        <v>0.92204973229992504</v>
      </c>
      <c r="E129" s="7">
        <f t="shared" si="7"/>
        <v>9.0136434241756547</v>
      </c>
      <c r="F129" s="7">
        <f t="shared" si="4"/>
        <v>-8.0915936918757296</v>
      </c>
      <c r="G129" s="7">
        <f t="shared" si="5"/>
        <v>65.473888474403097</v>
      </c>
    </row>
    <row r="130" spans="1:7">
      <c r="A130" s="7">
        <v>129</v>
      </c>
      <c r="B130" s="7">
        <v>71.796895570000004</v>
      </c>
      <c r="C130" s="7"/>
      <c r="D130" s="15">
        <f t="shared" si="6"/>
        <v>1.8404966422999252</v>
      </c>
      <c r="E130" s="7">
        <f t="shared" si="7"/>
        <v>8.0106777549569728</v>
      </c>
      <c r="F130" s="7">
        <f t="shared" ref="F130:F193" si="8">D130-E130</f>
        <v>-6.1701811126570476</v>
      </c>
      <c r="G130" s="7">
        <f t="shared" ref="G130:G193" si="9">F130^2</f>
        <v>38.07113496298976</v>
      </c>
    </row>
    <row r="131" spans="1:7">
      <c r="A131" s="7">
        <v>130</v>
      </c>
      <c r="B131" s="7">
        <v>71.401862120000004</v>
      </c>
      <c r="C131" s="7"/>
      <c r="D131" s="15">
        <f t="shared" ref="D131:D194" si="10">B131-$C$2</f>
        <v>1.4454631922999255</v>
      </c>
      <c r="E131" s="7">
        <f t="shared" ref="E131:E194" si="11">-0.99*F130</f>
        <v>6.108479301530477</v>
      </c>
      <c r="F131" s="7">
        <f t="shared" si="8"/>
        <v>-4.6630161092305515</v>
      </c>
      <c r="G131" s="7">
        <f t="shared" si="9"/>
        <v>21.743719234943629</v>
      </c>
    </row>
    <row r="132" spans="1:7">
      <c r="A132" s="7">
        <v>131</v>
      </c>
      <c r="B132" s="7">
        <v>69.796690290000001</v>
      </c>
      <c r="C132" s="7"/>
      <c r="D132" s="15">
        <f t="shared" si="10"/>
        <v>-0.15970863770007782</v>
      </c>
      <c r="E132" s="7">
        <f t="shared" si="11"/>
        <v>4.6163859481382463</v>
      </c>
      <c r="F132" s="7">
        <f t="shared" si="8"/>
        <v>-4.7760945858383241</v>
      </c>
      <c r="G132" s="7">
        <f t="shared" si="9"/>
        <v>22.811079492874153</v>
      </c>
    </row>
    <row r="133" spans="1:7">
      <c r="A133" s="7">
        <v>132</v>
      </c>
      <c r="B133" s="7">
        <v>68.641663989999998</v>
      </c>
      <c r="C133" s="7"/>
      <c r="D133" s="15">
        <f t="shared" si="10"/>
        <v>-1.3147349377000808</v>
      </c>
      <c r="E133" s="7">
        <f t="shared" si="11"/>
        <v>4.7283336399799412</v>
      </c>
      <c r="F133" s="7">
        <f t="shared" si="8"/>
        <v>-6.0430685776800219</v>
      </c>
      <c r="G133" s="7">
        <f t="shared" si="9"/>
        <v>36.518677834543645</v>
      </c>
    </row>
    <row r="134" spans="1:7">
      <c r="A134" s="7">
        <v>133</v>
      </c>
      <c r="B134" s="7">
        <v>68.738473709999994</v>
      </c>
      <c r="C134" s="7"/>
      <c r="D134" s="15">
        <f t="shared" si="10"/>
        <v>-1.2179252177000848</v>
      </c>
      <c r="E134" s="7">
        <f t="shared" si="11"/>
        <v>5.9826378919032219</v>
      </c>
      <c r="F134" s="7">
        <f t="shared" si="8"/>
        <v>-7.2005631096033067</v>
      </c>
      <c r="G134" s="7">
        <f t="shared" si="9"/>
        <v>51.848109095380039</v>
      </c>
    </row>
    <row r="135" spans="1:7">
      <c r="A135" s="7">
        <v>134</v>
      </c>
      <c r="B135" s="7">
        <v>68.598704920000003</v>
      </c>
      <c r="C135" s="7"/>
      <c r="D135" s="15">
        <f t="shared" si="10"/>
        <v>-1.3576940077000756</v>
      </c>
      <c r="E135" s="7">
        <f t="shared" si="11"/>
        <v>7.1285574785072736</v>
      </c>
      <c r="F135" s="7">
        <f t="shared" si="8"/>
        <v>-8.4862514862073493</v>
      </c>
      <c r="G135" s="7">
        <f t="shared" si="9"/>
        <v>72.016464287156438</v>
      </c>
    </row>
    <row r="136" spans="1:7">
      <c r="A136" s="7">
        <v>135</v>
      </c>
      <c r="B136" s="7">
        <v>72.034881229999996</v>
      </c>
      <c r="C136" s="7"/>
      <c r="D136" s="15">
        <f t="shared" si="10"/>
        <v>2.0784823022999177</v>
      </c>
      <c r="E136" s="7">
        <f t="shared" si="11"/>
        <v>8.4013889713452752</v>
      </c>
      <c r="F136" s="7">
        <f t="shared" si="8"/>
        <v>-6.3229066690453575</v>
      </c>
      <c r="G136" s="7">
        <f t="shared" si="9"/>
        <v>39.979148745458261</v>
      </c>
    </row>
    <row r="137" spans="1:7">
      <c r="A137" s="7">
        <v>136</v>
      </c>
      <c r="B137" s="7">
        <v>69.39599561</v>
      </c>
      <c r="C137" s="7"/>
      <c r="D137" s="15">
        <f t="shared" si="10"/>
        <v>-0.56040331770007867</v>
      </c>
      <c r="E137" s="7">
        <f t="shared" si="11"/>
        <v>6.2596776023549037</v>
      </c>
      <c r="F137" s="7">
        <f t="shared" si="8"/>
        <v>-6.8200809200549823</v>
      </c>
      <c r="G137" s="7">
        <f t="shared" si="9"/>
        <v>46.513503756098011</v>
      </c>
    </row>
    <row r="138" spans="1:7">
      <c r="A138" s="7">
        <v>137</v>
      </c>
      <c r="B138" s="7">
        <v>69.591141530000002</v>
      </c>
      <c r="C138" s="7"/>
      <c r="D138" s="15">
        <f t="shared" si="10"/>
        <v>-0.36525739770007704</v>
      </c>
      <c r="E138" s="7">
        <f t="shared" si="11"/>
        <v>6.7518801108544322</v>
      </c>
      <c r="F138" s="7">
        <f t="shared" si="8"/>
        <v>-7.1171375085545092</v>
      </c>
      <c r="G138" s="7">
        <f t="shared" si="9"/>
        <v>50.653646315673484</v>
      </c>
    </row>
    <row r="139" spans="1:7">
      <c r="A139" s="7">
        <v>138</v>
      </c>
      <c r="B139" s="7">
        <v>68.651333940000001</v>
      </c>
      <c r="C139" s="7"/>
      <c r="D139" s="15">
        <f t="shared" si="10"/>
        <v>-1.3050649877000779</v>
      </c>
      <c r="E139" s="7">
        <f t="shared" si="11"/>
        <v>7.0459661334689638</v>
      </c>
      <c r="F139" s="7">
        <f t="shared" si="8"/>
        <v>-8.3510311211690418</v>
      </c>
      <c r="G139" s="7">
        <f t="shared" si="9"/>
        <v>69.739720786733869</v>
      </c>
    </row>
    <row r="140" spans="1:7">
      <c r="A140" s="7">
        <v>139</v>
      </c>
      <c r="B140" s="7">
        <v>69.209114409999998</v>
      </c>
      <c r="C140" s="7"/>
      <c r="D140" s="15">
        <f t="shared" si="10"/>
        <v>-0.74728451770008064</v>
      </c>
      <c r="E140" s="7">
        <f t="shared" si="11"/>
        <v>8.2675208099573521</v>
      </c>
      <c r="F140" s="7">
        <f t="shared" si="8"/>
        <v>-9.0148053276574327</v>
      </c>
      <c r="G140" s="7">
        <f t="shared" si="9"/>
        <v>81.266715095560826</v>
      </c>
    </row>
    <row r="141" spans="1:7">
      <c r="A141" s="7">
        <v>140</v>
      </c>
      <c r="B141" s="7">
        <v>68.942066519999997</v>
      </c>
      <c r="C141" s="7"/>
      <c r="D141" s="15">
        <f t="shared" si="10"/>
        <v>-1.0143324077000813</v>
      </c>
      <c r="E141" s="7">
        <f t="shared" si="11"/>
        <v>8.9246572743808574</v>
      </c>
      <c r="F141" s="7">
        <f t="shared" si="8"/>
        <v>-9.9389896820809387</v>
      </c>
      <c r="G141" s="7">
        <f t="shared" si="9"/>
        <v>98.783515900511361</v>
      </c>
    </row>
    <row r="142" spans="1:7">
      <c r="A142" s="7">
        <v>141</v>
      </c>
      <c r="B142" s="7">
        <v>68.42487663</v>
      </c>
      <c r="C142" s="7"/>
      <c r="D142" s="15">
        <f t="shared" si="10"/>
        <v>-1.5315222977000786</v>
      </c>
      <c r="E142" s="7">
        <f t="shared" si="11"/>
        <v>9.8395997852601287</v>
      </c>
      <c r="F142" s="7">
        <f t="shared" si="8"/>
        <v>-11.371122082960207</v>
      </c>
      <c r="G142" s="7">
        <f t="shared" si="9"/>
        <v>129.30241742558528</v>
      </c>
    </row>
    <row r="143" spans="1:7">
      <c r="A143" s="7">
        <v>142</v>
      </c>
      <c r="B143" s="7">
        <v>68.232109719999997</v>
      </c>
      <c r="C143" s="7"/>
      <c r="D143" s="15">
        <f t="shared" si="10"/>
        <v>-1.7242892077000818</v>
      </c>
      <c r="E143" s="7">
        <f t="shared" si="11"/>
        <v>11.257410862130605</v>
      </c>
      <c r="F143" s="7">
        <f t="shared" si="8"/>
        <v>-12.981700069830687</v>
      </c>
      <c r="G143" s="7">
        <f t="shared" si="9"/>
        <v>168.52453670304206</v>
      </c>
    </row>
    <row r="144" spans="1:7">
      <c r="A144" s="7">
        <v>143</v>
      </c>
      <c r="B144" s="7">
        <v>71.166788999999994</v>
      </c>
      <c r="C144" s="7"/>
      <c r="D144" s="15">
        <f t="shared" si="10"/>
        <v>1.2103900722999157</v>
      </c>
      <c r="E144" s="7">
        <f t="shared" si="11"/>
        <v>12.851883069132381</v>
      </c>
      <c r="F144" s="7">
        <f t="shared" si="8"/>
        <v>-11.641492996832465</v>
      </c>
      <c r="G144" s="7">
        <f t="shared" si="9"/>
        <v>135.52435919529933</v>
      </c>
    </row>
    <row r="145" spans="1:7">
      <c r="A145" s="7">
        <v>144</v>
      </c>
      <c r="B145" s="7">
        <v>71.097452059999995</v>
      </c>
      <c r="C145" s="7"/>
      <c r="D145" s="15">
        <f t="shared" si="10"/>
        <v>1.1410531322999162</v>
      </c>
      <c r="E145" s="7">
        <f t="shared" si="11"/>
        <v>11.52507806686414</v>
      </c>
      <c r="F145" s="7">
        <f t="shared" si="8"/>
        <v>-10.384024934564223</v>
      </c>
      <c r="G145" s="7">
        <f t="shared" si="9"/>
        <v>107.82797384165153</v>
      </c>
    </row>
    <row r="146" spans="1:7">
      <c r="A146" s="7">
        <v>145</v>
      </c>
      <c r="B146" s="7">
        <v>69.542732340000001</v>
      </c>
      <c r="C146" s="7"/>
      <c r="D146" s="15">
        <f t="shared" si="10"/>
        <v>-0.41366658770007803</v>
      </c>
      <c r="E146" s="7">
        <f t="shared" si="11"/>
        <v>10.280184685218581</v>
      </c>
      <c r="F146" s="7">
        <f t="shared" si="8"/>
        <v>-10.693851272918659</v>
      </c>
      <c r="G146" s="7">
        <f t="shared" si="9"/>
        <v>114.35845504730402</v>
      </c>
    </row>
    <row r="147" spans="1:7">
      <c r="A147" s="7">
        <v>146</v>
      </c>
      <c r="B147" s="7">
        <v>69.95219075</v>
      </c>
      <c r="C147" s="7"/>
      <c r="D147" s="15">
        <f t="shared" si="10"/>
        <v>-4.2081777000788634E-3</v>
      </c>
      <c r="E147" s="7">
        <f t="shared" si="11"/>
        <v>10.586912760189472</v>
      </c>
      <c r="F147" s="7">
        <f t="shared" si="8"/>
        <v>-10.591120937889551</v>
      </c>
      <c r="G147" s="7">
        <f t="shared" si="9"/>
        <v>112.17184272100245</v>
      </c>
    </row>
    <row r="148" spans="1:7">
      <c r="A148" s="7">
        <v>147</v>
      </c>
      <c r="B148" s="7">
        <v>70.118844060000001</v>
      </c>
      <c r="C148" s="7"/>
      <c r="D148" s="15">
        <f t="shared" si="10"/>
        <v>0.16244513229992208</v>
      </c>
      <c r="E148" s="7">
        <f t="shared" si="11"/>
        <v>10.485209728510656</v>
      </c>
      <c r="F148" s="7">
        <f t="shared" si="8"/>
        <v>-10.322764596210734</v>
      </c>
      <c r="G148" s="7">
        <f t="shared" si="9"/>
        <v>106.55946890878175</v>
      </c>
    </row>
    <row r="149" spans="1:7">
      <c r="A149" s="7">
        <v>148</v>
      </c>
      <c r="B149" s="7">
        <v>70.805682970000007</v>
      </c>
      <c r="C149" s="7"/>
      <c r="D149" s="15">
        <f t="shared" si="10"/>
        <v>0.84928404229992793</v>
      </c>
      <c r="E149" s="7">
        <f t="shared" si="11"/>
        <v>10.219536950248626</v>
      </c>
      <c r="F149" s="7">
        <f t="shared" si="8"/>
        <v>-9.3702529079486983</v>
      </c>
      <c r="G149" s="7">
        <f t="shared" si="9"/>
        <v>87.801639558921039</v>
      </c>
    </row>
    <row r="150" spans="1:7">
      <c r="A150" s="7">
        <v>149</v>
      </c>
      <c r="B150" s="7">
        <v>68.623499910000007</v>
      </c>
      <c r="C150" s="7"/>
      <c r="D150" s="15">
        <f t="shared" si="10"/>
        <v>-1.3328990177000719</v>
      </c>
      <c r="E150" s="7">
        <f t="shared" si="11"/>
        <v>9.2765503788692119</v>
      </c>
      <c r="F150" s="7">
        <f t="shared" si="8"/>
        <v>-10.609449396569284</v>
      </c>
      <c r="G150" s="7">
        <f t="shared" si="9"/>
        <v>112.56041649836433</v>
      </c>
    </row>
    <row r="151" spans="1:7">
      <c r="A151" s="7">
        <v>150</v>
      </c>
      <c r="B151" s="7">
        <v>69.235998960000003</v>
      </c>
      <c r="C151" s="7"/>
      <c r="D151" s="15">
        <f t="shared" si="10"/>
        <v>-0.72039996770007519</v>
      </c>
      <c r="E151" s="7">
        <f t="shared" si="11"/>
        <v>10.50335490260359</v>
      </c>
      <c r="F151" s="7">
        <f t="shared" si="8"/>
        <v>-11.223754870303665</v>
      </c>
      <c r="G151" s="7">
        <f t="shared" si="9"/>
        <v>125.97267338866524</v>
      </c>
    </row>
    <row r="152" spans="1:7">
      <c r="A152" s="7">
        <v>151</v>
      </c>
      <c r="B152" s="7">
        <v>70.727244240000005</v>
      </c>
      <c r="C152" s="7"/>
      <c r="D152" s="15">
        <f t="shared" si="10"/>
        <v>0.77084531229992592</v>
      </c>
      <c r="E152" s="7">
        <f t="shared" si="11"/>
        <v>11.111517321600628</v>
      </c>
      <c r="F152" s="7">
        <f t="shared" si="8"/>
        <v>-10.340672009300702</v>
      </c>
      <c r="G152" s="7">
        <f t="shared" si="9"/>
        <v>106.92949760393502</v>
      </c>
    </row>
    <row r="153" spans="1:7">
      <c r="A153" s="7">
        <v>152</v>
      </c>
      <c r="B153" s="7">
        <v>69.003948570000006</v>
      </c>
      <c r="C153" s="7"/>
      <c r="D153" s="15">
        <f t="shared" si="10"/>
        <v>-0.95245035770007291</v>
      </c>
      <c r="E153" s="7">
        <f t="shared" si="11"/>
        <v>10.237265289207695</v>
      </c>
      <c r="F153" s="7">
        <f t="shared" si="8"/>
        <v>-11.189715646907768</v>
      </c>
      <c r="G153" s="7">
        <f t="shared" si="9"/>
        <v>125.20973625865253</v>
      </c>
    </row>
    <row r="154" spans="1:7">
      <c r="A154" s="7">
        <v>153</v>
      </c>
      <c r="B154" s="7">
        <v>69.632391150000004</v>
      </c>
      <c r="C154" s="7"/>
      <c r="D154" s="15">
        <f t="shared" si="10"/>
        <v>-0.32400777770007494</v>
      </c>
      <c r="E154" s="7">
        <f t="shared" si="11"/>
        <v>11.077818490438689</v>
      </c>
      <c r="F154" s="7">
        <f t="shared" si="8"/>
        <v>-11.401826268138764</v>
      </c>
      <c r="G154" s="7">
        <f t="shared" si="9"/>
        <v>130.00164224881914</v>
      </c>
    </row>
    <row r="155" spans="1:7">
      <c r="A155" s="7">
        <v>154</v>
      </c>
      <c r="B155" s="7">
        <v>71.77443169</v>
      </c>
      <c r="C155" s="7"/>
      <c r="D155" s="15">
        <f t="shared" si="10"/>
        <v>1.8180327622999215</v>
      </c>
      <c r="E155" s="7">
        <f t="shared" si="11"/>
        <v>11.287808005457377</v>
      </c>
      <c r="F155" s="7">
        <f t="shared" si="8"/>
        <v>-9.4697752431574553</v>
      </c>
      <c r="G155" s="7">
        <f t="shared" si="9"/>
        <v>89.676643155917844</v>
      </c>
    </row>
    <row r="156" spans="1:7">
      <c r="A156" s="7">
        <v>155</v>
      </c>
      <c r="B156" s="7">
        <v>71.160083970000002</v>
      </c>
      <c r="C156" s="7"/>
      <c r="D156" s="15">
        <f t="shared" si="10"/>
        <v>1.2036850422999237</v>
      </c>
      <c r="E156" s="7">
        <f t="shared" si="11"/>
        <v>9.3750774907258805</v>
      </c>
      <c r="F156" s="7">
        <f t="shared" si="8"/>
        <v>-8.1713924484259568</v>
      </c>
      <c r="G156" s="7">
        <f t="shared" si="9"/>
        <v>66.77165454619275</v>
      </c>
    </row>
    <row r="157" spans="1:7">
      <c r="A157" s="7">
        <v>156</v>
      </c>
      <c r="B157" s="7">
        <v>70.985126809999997</v>
      </c>
      <c r="C157" s="7"/>
      <c r="D157" s="15">
        <f t="shared" si="10"/>
        <v>1.0287278822999184</v>
      </c>
      <c r="E157" s="7">
        <f t="shared" si="11"/>
        <v>8.0896785239416964</v>
      </c>
      <c r="F157" s="7">
        <f t="shared" si="8"/>
        <v>-7.060950641641778</v>
      </c>
      <c r="G157" s="7">
        <f t="shared" si="9"/>
        <v>49.857023963701437</v>
      </c>
    </row>
    <row r="158" spans="1:7">
      <c r="A158" s="7">
        <v>157</v>
      </c>
      <c r="B158" s="7">
        <v>70.91362135</v>
      </c>
      <c r="C158" s="7"/>
      <c r="D158" s="15">
        <f t="shared" si="10"/>
        <v>0.95722242229992105</v>
      </c>
      <c r="E158" s="7">
        <f t="shared" si="11"/>
        <v>6.9903411352253597</v>
      </c>
      <c r="F158" s="7">
        <f t="shared" si="8"/>
        <v>-6.0331187129254387</v>
      </c>
      <c r="G158" s="7">
        <f t="shared" si="9"/>
        <v>36.398521404251099</v>
      </c>
    </row>
    <row r="159" spans="1:7">
      <c r="A159" s="7">
        <v>158</v>
      </c>
      <c r="B159" s="7">
        <v>69.545129070000002</v>
      </c>
      <c r="C159" s="7"/>
      <c r="D159" s="15">
        <f t="shared" si="10"/>
        <v>-0.41126985770007707</v>
      </c>
      <c r="E159" s="7">
        <f t="shared" si="11"/>
        <v>5.9727875257961847</v>
      </c>
      <c r="F159" s="7">
        <f t="shared" si="8"/>
        <v>-6.3840573834962617</v>
      </c>
      <c r="G159" s="7">
        <f t="shared" si="9"/>
        <v>40.756188675773139</v>
      </c>
    </row>
    <row r="160" spans="1:7">
      <c r="A160" s="7">
        <v>159</v>
      </c>
      <c r="B160" s="7">
        <v>69.492757769999997</v>
      </c>
      <c r="C160" s="7"/>
      <c r="D160" s="15">
        <f t="shared" si="10"/>
        <v>-0.46364115770008141</v>
      </c>
      <c r="E160" s="7">
        <f t="shared" si="11"/>
        <v>6.3202168096612992</v>
      </c>
      <c r="F160" s="7">
        <f t="shared" si="8"/>
        <v>-6.7838579673613806</v>
      </c>
      <c r="G160" s="7">
        <f t="shared" si="9"/>
        <v>46.020728921332484</v>
      </c>
    </row>
    <row r="161" spans="1:7">
      <c r="A161" s="7">
        <v>160</v>
      </c>
      <c r="B161" s="7">
        <v>68.265121230000005</v>
      </c>
      <c r="C161" s="7"/>
      <c r="D161" s="15">
        <f t="shared" si="10"/>
        <v>-1.6912776977000732</v>
      </c>
      <c r="E161" s="7">
        <f t="shared" si="11"/>
        <v>6.7160193876877665</v>
      </c>
      <c r="F161" s="7">
        <f t="shared" si="8"/>
        <v>-8.4072970853878388</v>
      </c>
      <c r="G161" s="7">
        <f t="shared" si="9"/>
        <v>70.682644281970852</v>
      </c>
    </row>
    <row r="162" spans="1:7">
      <c r="A162" s="7">
        <v>161</v>
      </c>
      <c r="B162" s="7">
        <v>68.659942369999996</v>
      </c>
      <c r="C162" s="7"/>
      <c r="D162" s="15">
        <f t="shared" si="10"/>
        <v>-1.2964565577000826</v>
      </c>
      <c r="E162" s="7">
        <f t="shared" si="11"/>
        <v>8.3232241145339607</v>
      </c>
      <c r="F162" s="7">
        <f t="shared" si="8"/>
        <v>-9.6196806722340433</v>
      </c>
      <c r="G162" s="7">
        <f t="shared" si="9"/>
        <v>92.538256235753209</v>
      </c>
    </row>
    <row r="163" spans="1:7">
      <c r="A163" s="7">
        <v>162</v>
      </c>
      <c r="B163" s="7">
        <v>69.982117029999998</v>
      </c>
      <c r="C163" s="7"/>
      <c r="D163" s="15">
        <f t="shared" si="10"/>
        <v>2.571810229991911E-2</v>
      </c>
      <c r="E163" s="7">
        <f t="shared" si="11"/>
        <v>9.523483865511702</v>
      </c>
      <c r="F163" s="7">
        <f t="shared" si="8"/>
        <v>-9.4977657632117829</v>
      </c>
      <c r="G163" s="7">
        <f t="shared" si="9"/>
        <v>90.2075544928379</v>
      </c>
    </row>
    <row r="164" spans="1:7">
      <c r="A164" s="7">
        <v>163</v>
      </c>
      <c r="B164" s="7">
        <v>71.114388000000005</v>
      </c>
      <c r="C164" s="7"/>
      <c r="D164" s="15">
        <f t="shared" si="10"/>
        <v>1.1579890722999266</v>
      </c>
      <c r="E164" s="7">
        <f t="shared" si="11"/>
        <v>9.4027881055796652</v>
      </c>
      <c r="F164" s="7">
        <f t="shared" si="8"/>
        <v>-8.2447990332797385</v>
      </c>
      <c r="G164" s="7">
        <f t="shared" si="9"/>
        <v>67.976711099170515</v>
      </c>
    </row>
    <row r="165" spans="1:7">
      <c r="A165" s="7">
        <v>164</v>
      </c>
      <c r="B165" s="7">
        <v>70.698609820000001</v>
      </c>
      <c r="C165" s="7"/>
      <c r="D165" s="15">
        <f t="shared" si="10"/>
        <v>0.74221089229992288</v>
      </c>
      <c r="E165" s="7">
        <f t="shared" si="11"/>
        <v>8.1623510429469412</v>
      </c>
      <c r="F165" s="7">
        <f t="shared" si="8"/>
        <v>-7.4201401506470184</v>
      </c>
      <c r="G165" s="7">
        <f t="shared" si="9"/>
        <v>55.058479855243959</v>
      </c>
    </row>
    <row r="166" spans="1:7">
      <c r="A166" s="7">
        <v>165</v>
      </c>
      <c r="B166" s="7">
        <v>70.804833220000006</v>
      </c>
      <c r="C166" s="7"/>
      <c r="D166" s="15">
        <f t="shared" si="10"/>
        <v>0.84843429229992751</v>
      </c>
      <c r="E166" s="7">
        <f t="shared" si="11"/>
        <v>7.3459387491405481</v>
      </c>
      <c r="F166" s="7">
        <f t="shared" si="8"/>
        <v>-6.4975044568406206</v>
      </c>
      <c r="G166" s="7">
        <f t="shared" si="9"/>
        <v>42.217564166663728</v>
      </c>
    </row>
    <row r="167" spans="1:7">
      <c r="A167" s="7">
        <v>166</v>
      </c>
      <c r="B167" s="7">
        <v>69.170410770000004</v>
      </c>
      <c r="C167" s="7"/>
      <c r="D167" s="15">
        <f t="shared" si="10"/>
        <v>-0.78598815770007491</v>
      </c>
      <c r="E167" s="7">
        <f t="shared" si="11"/>
        <v>6.4325294122722143</v>
      </c>
      <c r="F167" s="7">
        <f t="shared" si="8"/>
        <v>-7.2185175699722892</v>
      </c>
      <c r="G167" s="7">
        <f t="shared" si="9"/>
        <v>52.106995907998645</v>
      </c>
    </row>
    <row r="168" spans="1:7">
      <c r="A168" s="7">
        <v>167</v>
      </c>
      <c r="B168" s="7">
        <v>69.159099220000002</v>
      </c>
      <c r="C168" s="7"/>
      <c r="D168" s="15">
        <f t="shared" si="10"/>
        <v>-0.79729970770007697</v>
      </c>
      <c r="E168" s="7">
        <f t="shared" si="11"/>
        <v>7.1463323942725658</v>
      </c>
      <c r="F168" s="7">
        <f t="shared" si="8"/>
        <v>-7.9436321019726428</v>
      </c>
      <c r="G168" s="7">
        <f t="shared" si="9"/>
        <v>63.101290971490307</v>
      </c>
    </row>
    <row r="169" spans="1:7">
      <c r="A169" s="7">
        <v>168</v>
      </c>
      <c r="B169" s="7">
        <v>69.763615689999995</v>
      </c>
      <c r="C169" s="7"/>
      <c r="D169" s="15">
        <f t="shared" si="10"/>
        <v>-0.19278323770008399</v>
      </c>
      <c r="E169" s="7">
        <f t="shared" si="11"/>
        <v>7.8641957809529162</v>
      </c>
      <c r="F169" s="7">
        <f t="shared" si="8"/>
        <v>-8.0569790186529993</v>
      </c>
      <c r="G169" s="7">
        <f t="shared" si="9"/>
        <v>64.914910907014644</v>
      </c>
    </row>
    <row r="170" spans="1:7">
      <c r="A170" s="7">
        <v>169</v>
      </c>
      <c r="B170" s="7">
        <v>71.960030889999999</v>
      </c>
      <c r="C170" s="7"/>
      <c r="D170" s="15">
        <f t="shared" si="10"/>
        <v>2.0036319622999201</v>
      </c>
      <c r="E170" s="7">
        <f t="shared" si="11"/>
        <v>7.9764092284664692</v>
      </c>
      <c r="F170" s="7">
        <f t="shared" si="8"/>
        <v>-5.972777266166549</v>
      </c>
      <c r="G170" s="7">
        <f t="shared" si="9"/>
        <v>35.674068271235953</v>
      </c>
    </row>
    <row r="171" spans="1:7">
      <c r="A171" s="7">
        <v>170</v>
      </c>
      <c r="B171" s="7">
        <v>71.03276717</v>
      </c>
      <c r="C171" s="7"/>
      <c r="D171" s="15">
        <f t="shared" si="10"/>
        <v>1.076368242299921</v>
      </c>
      <c r="E171" s="7">
        <f t="shared" si="11"/>
        <v>5.9130494935048832</v>
      </c>
      <c r="F171" s="7">
        <f t="shared" si="8"/>
        <v>-4.8366812512049622</v>
      </c>
      <c r="G171" s="7">
        <f t="shared" si="9"/>
        <v>23.393485525757598</v>
      </c>
    </row>
    <row r="172" spans="1:7">
      <c r="A172" s="7">
        <v>171</v>
      </c>
      <c r="B172" s="7">
        <v>69.532634400000006</v>
      </c>
      <c r="C172" s="7"/>
      <c r="D172" s="15">
        <f t="shared" si="10"/>
        <v>-0.42376452770007234</v>
      </c>
      <c r="E172" s="7">
        <f t="shared" si="11"/>
        <v>4.7883144386929128</v>
      </c>
      <c r="F172" s="7">
        <f t="shared" si="8"/>
        <v>-5.2120789663929852</v>
      </c>
      <c r="G172" s="7">
        <f t="shared" si="9"/>
        <v>27.165767151916167</v>
      </c>
    </row>
    <row r="173" spans="1:7">
      <c r="A173" s="7">
        <v>172</v>
      </c>
      <c r="B173" s="7">
        <v>69.431101709999993</v>
      </c>
      <c r="C173" s="7"/>
      <c r="D173" s="15">
        <f t="shared" si="10"/>
        <v>-0.52529721770008564</v>
      </c>
      <c r="E173" s="7">
        <f t="shared" si="11"/>
        <v>5.159958176729055</v>
      </c>
      <c r="F173" s="7">
        <f t="shared" si="8"/>
        <v>-5.6852553944291406</v>
      </c>
      <c r="G173" s="7">
        <f t="shared" si="9"/>
        <v>32.322128899885641</v>
      </c>
    </row>
    <row r="174" spans="1:7">
      <c r="A174" s="7">
        <v>173</v>
      </c>
      <c r="B174" s="7">
        <v>68.879757260000005</v>
      </c>
      <c r="C174" s="7"/>
      <c r="D174" s="15">
        <f t="shared" si="10"/>
        <v>-1.0766416677000734</v>
      </c>
      <c r="E174" s="7">
        <f t="shared" si="11"/>
        <v>5.6284028404848492</v>
      </c>
      <c r="F174" s="7">
        <f t="shared" si="8"/>
        <v>-6.7050445081849226</v>
      </c>
      <c r="G174" s="7">
        <f t="shared" si="9"/>
        <v>44.957621856740793</v>
      </c>
    </row>
    <row r="175" spans="1:7">
      <c r="A175" s="7">
        <v>174</v>
      </c>
      <c r="B175" s="7">
        <v>69.691277690000007</v>
      </c>
      <c r="C175" s="7"/>
      <c r="D175" s="15">
        <f t="shared" si="10"/>
        <v>-0.26512123770007179</v>
      </c>
      <c r="E175" s="7">
        <f t="shared" si="11"/>
        <v>6.6379940631030729</v>
      </c>
      <c r="F175" s="7">
        <f t="shared" si="8"/>
        <v>-6.9031153008031447</v>
      </c>
      <c r="G175" s="7">
        <f t="shared" si="9"/>
        <v>47.653000856182494</v>
      </c>
    </row>
    <row r="176" spans="1:7">
      <c r="A176" s="7">
        <v>175</v>
      </c>
      <c r="B176" s="7">
        <v>69.785784219999996</v>
      </c>
      <c r="C176" s="7"/>
      <c r="D176" s="15">
        <f t="shared" si="10"/>
        <v>-0.17061470770008214</v>
      </c>
      <c r="E176" s="7">
        <f t="shared" si="11"/>
        <v>6.8340841477951129</v>
      </c>
      <c r="F176" s="7">
        <f t="shared" si="8"/>
        <v>-7.004698855495195</v>
      </c>
      <c r="G176" s="7">
        <f t="shared" si="9"/>
        <v>49.065806056175695</v>
      </c>
    </row>
    <row r="177" spans="1:7">
      <c r="A177" s="7">
        <v>176</v>
      </c>
      <c r="B177" s="7">
        <v>68.172759679999999</v>
      </c>
      <c r="C177" s="7"/>
      <c r="D177" s="15">
        <f t="shared" si="10"/>
        <v>-1.78363924770008</v>
      </c>
      <c r="E177" s="7">
        <f t="shared" si="11"/>
        <v>6.9346518669402428</v>
      </c>
      <c r="F177" s="7">
        <f t="shared" si="8"/>
        <v>-8.7182911146403228</v>
      </c>
      <c r="G177" s="7">
        <f t="shared" si="9"/>
        <v>76.008599959616404</v>
      </c>
    </row>
    <row r="178" spans="1:7">
      <c r="A178" s="7">
        <v>177</v>
      </c>
      <c r="B178" s="7">
        <v>68.909333989999993</v>
      </c>
      <c r="C178" s="7"/>
      <c r="D178" s="15">
        <f t="shared" si="10"/>
        <v>-1.0470649377000854</v>
      </c>
      <c r="E178" s="7">
        <f t="shared" si="11"/>
        <v>8.6311082034939197</v>
      </c>
      <c r="F178" s="7">
        <f t="shared" si="8"/>
        <v>-9.6781731411940051</v>
      </c>
      <c r="G178" s="7">
        <f t="shared" si="9"/>
        <v>93.667035350929041</v>
      </c>
    </row>
    <row r="179" spans="1:7">
      <c r="A179" s="7">
        <v>178</v>
      </c>
      <c r="B179" s="7">
        <v>69.576229400000003</v>
      </c>
      <c r="C179" s="7"/>
      <c r="D179" s="15">
        <f t="shared" si="10"/>
        <v>-0.38016952770007606</v>
      </c>
      <c r="E179" s="7">
        <f t="shared" si="11"/>
        <v>9.5813914097820643</v>
      </c>
      <c r="F179" s="7">
        <f t="shared" si="8"/>
        <v>-9.9615609374821403</v>
      </c>
      <c r="G179" s="7">
        <f t="shared" si="9"/>
        <v>99.232696311170059</v>
      </c>
    </row>
    <row r="180" spans="1:7">
      <c r="A180" s="7">
        <v>179</v>
      </c>
      <c r="B180" s="7">
        <v>68.440514140000005</v>
      </c>
      <c r="C180" s="7"/>
      <c r="D180" s="15">
        <f t="shared" si="10"/>
        <v>-1.5158847877000738</v>
      </c>
      <c r="E180" s="7">
        <f t="shared" si="11"/>
        <v>9.8619453281073195</v>
      </c>
      <c r="F180" s="7">
        <f t="shared" si="8"/>
        <v>-11.377830115807393</v>
      </c>
      <c r="G180" s="7">
        <f t="shared" si="9"/>
        <v>129.45501814417369</v>
      </c>
    </row>
    <row r="181" spans="1:7">
      <c r="A181" s="7">
        <v>180</v>
      </c>
      <c r="B181" s="7">
        <v>69.124305509999999</v>
      </c>
      <c r="C181" s="7"/>
      <c r="D181" s="15">
        <f t="shared" si="10"/>
        <v>-0.83209341770007939</v>
      </c>
      <c r="E181" s="7">
        <f t="shared" si="11"/>
        <v>11.264051814649319</v>
      </c>
      <c r="F181" s="7">
        <f t="shared" si="8"/>
        <v>-12.096145232349398</v>
      </c>
      <c r="G181" s="7">
        <f t="shared" si="9"/>
        <v>146.31672948208907</v>
      </c>
    </row>
    <row r="182" spans="1:7">
      <c r="A182" s="7">
        <v>181</v>
      </c>
      <c r="B182" s="7">
        <v>71.43178503</v>
      </c>
      <c r="C182" s="7"/>
      <c r="D182" s="15">
        <f t="shared" si="10"/>
        <v>1.4753861022999217</v>
      </c>
      <c r="E182" s="7">
        <f t="shared" si="11"/>
        <v>11.975183780025905</v>
      </c>
      <c r="F182" s="7">
        <f t="shared" si="8"/>
        <v>-10.499797677725983</v>
      </c>
      <c r="G182" s="7">
        <f t="shared" si="9"/>
        <v>110.24575127317995</v>
      </c>
    </row>
    <row r="183" spans="1:7">
      <c r="A183" s="7">
        <v>182</v>
      </c>
      <c r="B183" s="7">
        <v>71.643083110000006</v>
      </c>
      <c r="C183" s="7"/>
      <c r="D183" s="15">
        <f t="shared" si="10"/>
        <v>1.6866841822999277</v>
      </c>
      <c r="E183" s="7">
        <f t="shared" si="11"/>
        <v>10.394799700948724</v>
      </c>
      <c r="F183" s="7">
        <f t="shared" si="8"/>
        <v>-8.7081155186487962</v>
      </c>
      <c r="G183" s="7">
        <f t="shared" si="9"/>
        <v>75.831275886131991</v>
      </c>
    </row>
    <row r="184" spans="1:7">
      <c r="A184" s="7">
        <v>183</v>
      </c>
      <c r="B184" s="7">
        <v>71.168241550000005</v>
      </c>
      <c r="C184" s="7"/>
      <c r="D184" s="15">
        <f t="shared" si="10"/>
        <v>1.2118426222999261</v>
      </c>
      <c r="E184" s="7">
        <f t="shared" si="11"/>
        <v>8.621034363462309</v>
      </c>
      <c r="F184" s="7">
        <f t="shared" si="8"/>
        <v>-7.4091917411623829</v>
      </c>
      <c r="G184" s="7">
        <f t="shared" si="9"/>
        <v>54.896122257308861</v>
      </c>
    </row>
    <row r="185" spans="1:7">
      <c r="A185" s="7">
        <v>184</v>
      </c>
      <c r="B185" s="7">
        <v>68.866523270000002</v>
      </c>
      <c r="C185" s="7"/>
      <c r="D185" s="15">
        <f t="shared" si="10"/>
        <v>-1.0898756577000768</v>
      </c>
      <c r="E185" s="7">
        <f t="shared" si="11"/>
        <v>7.3350998237507588</v>
      </c>
      <c r="F185" s="7">
        <f t="shared" si="8"/>
        <v>-8.4249754814508364</v>
      </c>
      <c r="G185" s="7">
        <f t="shared" si="9"/>
        <v>70.980211863047757</v>
      </c>
    </row>
    <row r="186" spans="1:7">
      <c r="A186" s="7">
        <v>185</v>
      </c>
      <c r="B186" s="7">
        <v>69.446339870000003</v>
      </c>
      <c r="C186" s="7"/>
      <c r="D186" s="15">
        <f t="shared" si="10"/>
        <v>-0.51005905770007587</v>
      </c>
      <c r="E186" s="7">
        <f t="shared" si="11"/>
        <v>8.3407257266363288</v>
      </c>
      <c r="F186" s="7">
        <f t="shared" si="8"/>
        <v>-8.8507847843364047</v>
      </c>
      <c r="G186" s="7">
        <f t="shared" si="9"/>
        <v>78.33639129864082</v>
      </c>
    </row>
    <row r="187" spans="1:7">
      <c r="A187" s="7">
        <v>186</v>
      </c>
      <c r="B187" s="7">
        <v>70.156296519999998</v>
      </c>
      <c r="C187" s="7"/>
      <c r="D187" s="15">
        <f t="shared" si="10"/>
        <v>0.19989759229991932</v>
      </c>
      <c r="E187" s="7">
        <f t="shared" si="11"/>
        <v>8.7622769364930413</v>
      </c>
      <c r="F187" s="7">
        <f t="shared" si="8"/>
        <v>-8.562379344193122</v>
      </c>
      <c r="G187" s="7">
        <f t="shared" si="9"/>
        <v>73.314340033865037</v>
      </c>
    </row>
    <row r="188" spans="1:7">
      <c r="A188" s="7">
        <v>187</v>
      </c>
      <c r="B188" s="7">
        <v>70.788921189999996</v>
      </c>
      <c r="C188" s="7"/>
      <c r="D188" s="15">
        <f t="shared" si="10"/>
        <v>0.83252226229991777</v>
      </c>
      <c r="E188" s="7">
        <f t="shared" si="11"/>
        <v>8.4767555507511911</v>
      </c>
      <c r="F188" s="7">
        <f t="shared" si="8"/>
        <v>-7.6442332884512734</v>
      </c>
      <c r="G188" s="7">
        <f t="shared" si="9"/>
        <v>58.434302568266567</v>
      </c>
    </row>
    <row r="189" spans="1:7">
      <c r="A189" s="7">
        <v>188</v>
      </c>
      <c r="B189" s="7">
        <v>70.849092380000002</v>
      </c>
      <c r="C189" s="7"/>
      <c r="D189" s="15">
        <f t="shared" si="10"/>
        <v>0.89269345229992325</v>
      </c>
      <c r="E189" s="7">
        <f t="shared" si="11"/>
        <v>7.5677909555667604</v>
      </c>
      <c r="F189" s="7">
        <f t="shared" si="8"/>
        <v>-6.6750975032668372</v>
      </c>
      <c r="G189" s="7">
        <f t="shared" si="9"/>
        <v>44.556926678119162</v>
      </c>
    </row>
    <row r="190" spans="1:7">
      <c r="A190" s="7">
        <v>189</v>
      </c>
      <c r="B190" s="7">
        <v>68.912998349999995</v>
      </c>
      <c r="C190" s="7"/>
      <c r="D190" s="15">
        <f t="shared" si="10"/>
        <v>-1.0434005777000834</v>
      </c>
      <c r="E190" s="7">
        <f t="shared" si="11"/>
        <v>6.6083465282341685</v>
      </c>
      <c r="F190" s="7">
        <f t="shared" si="8"/>
        <v>-7.6517471059342519</v>
      </c>
      <c r="G190" s="7">
        <f t="shared" si="9"/>
        <v>58.549233773173199</v>
      </c>
    </row>
    <row r="191" spans="1:7">
      <c r="A191" s="7">
        <v>190</v>
      </c>
      <c r="B191" s="7">
        <v>69.051670479999999</v>
      </c>
      <c r="C191" s="7"/>
      <c r="D191" s="15">
        <f t="shared" si="10"/>
        <v>-0.9047284477000801</v>
      </c>
      <c r="E191" s="7">
        <f t="shared" si="11"/>
        <v>7.5752296348749093</v>
      </c>
      <c r="F191" s="7">
        <f t="shared" si="8"/>
        <v>-8.4799580825749885</v>
      </c>
      <c r="G191" s="7">
        <f t="shared" si="9"/>
        <v>71.90968908222888</v>
      </c>
    </row>
    <row r="192" spans="1:7">
      <c r="A192" s="7">
        <v>191</v>
      </c>
      <c r="B192" s="7">
        <v>68.99923192</v>
      </c>
      <c r="C192" s="7"/>
      <c r="D192" s="15">
        <f t="shared" si="10"/>
        <v>-0.9571670077000789</v>
      </c>
      <c r="E192" s="7">
        <f t="shared" si="11"/>
        <v>8.3951585017492381</v>
      </c>
      <c r="F192" s="7">
        <f t="shared" si="8"/>
        <v>-9.352325509449317</v>
      </c>
      <c r="G192" s="7">
        <f t="shared" si="9"/>
        <v>87.465992434696432</v>
      </c>
    </row>
    <row r="193" spans="1:7">
      <c r="A193" s="7">
        <v>192</v>
      </c>
      <c r="B193" s="7">
        <v>69.633953919999996</v>
      </c>
      <c r="C193" s="7"/>
      <c r="D193" s="15">
        <f t="shared" si="10"/>
        <v>-0.32244500770008244</v>
      </c>
      <c r="E193" s="7">
        <f t="shared" si="11"/>
        <v>9.2588022543548245</v>
      </c>
      <c r="F193" s="7">
        <f t="shared" si="8"/>
        <v>-9.581247262054907</v>
      </c>
      <c r="G193" s="7">
        <f t="shared" si="9"/>
        <v>91.800299096634646</v>
      </c>
    </row>
    <row r="194" spans="1:7">
      <c r="A194" s="7">
        <v>193</v>
      </c>
      <c r="B194" s="7">
        <v>69.183201850000003</v>
      </c>
      <c r="C194" s="7"/>
      <c r="D194" s="15">
        <f t="shared" si="10"/>
        <v>-0.7731970777000754</v>
      </c>
      <c r="E194" s="7">
        <f t="shared" si="11"/>
        <v>9.4854347894343576</v>
      </c>
      <c r="F194" s="7">
        <f t="shared" ref="F194:F257" si="12">D194-E194</f>
        <v>-10.258631867134433</v>
      </c>
      <c r="G194" s="7">
        <f t="shared" ref="G194:G257" si="13">F194^2</f>
        <v>105.2395277853861</v>
      </c>
    </row>
    <row r="195" spans="1:7">
      <c r="A195" s="7">
        <v>194</v>
      </c>
      <c r="B195" s="7">
        <v>70.932205300000007</v>
      </c>
      <c r="C195" s="7"/>
      <c r="D195" s="15">
        <f t="shared" ref="D195:D258" si="14">B195-$C$2</f>
        <v>0.97580637229992817</v>
      </c>
      <c r="E195" s="7">
        <f t="shared" ref="E195:E258" si="15">-0.99*F194</f>
        <v>10.156045548463089</v>
      </c>
      <c r="F195" s="7">
        <f t="shared" si="12"/>
        <v>-9.1802391761631608</v>
      </c>
      <c r="G195" s="7">
        <f t="shared" si="13"/>
        <v>84.276791331560872</v>
      </c>
    </row>
    <row r="196" spans="1:7">
      <c r="A196" s="7">
        <v>195</v>
      </c>
      <c r="B196" s="7">
        <v>69.945390239999995</v>
      </c>
      <c r="C196" s="7"/>
      <c r="D196" s="15">
        <f t="shared" si="14"/>
        <v>-1.1008687700083897E-2</v>
      </c>
      <c r="E196" s="7">
        <f t="shared" si="15"/>
        <v>9.0884367844015284</v>
      </c>
      <c r="F196" s="7">
        <f t="shared" si="12"/>
        <v>-9.0994454721016123</v>
      </c>
      <c r="G196" s="7">
        <f t="shared" si="13"/>
        <v>82.799907899750536</v>
      </c>
    </row>
    <row r="197" spans="1:7">
      <c r="A197" s="7">
        <v>196</v>
      </c>
      <c r="B197" s="7">
        <v>68.788630400000002</v>
      </c>
      <c r="C197" s="7"/>
      <c r="D197" s="15">
        <f t="shared" si="14"/>
        <v>-1.1677685277000762</v>
      </c>
      <c r="E197" s="7">
        <f t="shared" si="15"/>
        <v>9.0084510173805956</v>
      </c>
      <c r="F197" s="7">
        <f t="shared" si="12"/>
        <v>-10.176219545080672</v>
      </c>
      <c r="G197" s="7">
        <f t="shared" si="13"/>
        <v>103.55544422968188</v>
      </c>
    </row>
    <row r="198" spans="1:7">
      <c r="A198" s="7">
        <v>197</v>
      </c>
      <c r="B198" s="7">
        <v>69.36414757</v>
      </c>
      <c r="C198" s="7"/>
      <c r="D198" s="15">
        <f t="shared" si="14"/>
        <v>-0.59225135770007853</v>
      </c>
      <c r="E198" s="7">
        <f t="shared" si="15"/>
        <v>10.074457349629865</v>
      </c>
      <c r="F198" s="7">
        <f t="shared" si="12"/>
        <v>-10.666708707329944</v>
      </c>
      <c r="G198" s="7">
        <f t="shared" si="13"/>
        <v>113.77867464702844</v>
      </c>
    </row>
    <row r="199" spans="1:7">
      <c r="A199" s="7">
        <v>198</v>
      </c>
      <c r="B199" s="7">
        <v>68.904800359999996</v>
      </c>
      <c r="C199" s="7"/>
      <c r="D199" s="15">
        <f t="shared" si="14"/>
        <v>-1.0515985677000828</v>
      </c>
      <c r="E199" s="7">
        <f t="shared" si="15"/>
        <v>10.560041620256644</v>
      </c>
      <c r="F199" s="7">
        <f t="shared" si="12"/>
        <v>-11.611640187956727</v>
      </c>
      <c r="G199" s="7">
        <f t="shared" si="13"/>
        <v>134.83018785457173</v>
      </c>
    </row>
    <row r="200" spans="1:7">
      <c r="A200" s="7">
        <v>199</v>
      </c>
      <c r="B200" s="7">
        <v>69.108972640000005</v>
      </c>
      <c r="C200" s="7"/>
      <c r="D200" s="15">
        <f t="shared" si="14"/>
        <v>-0.847426287700074</v>
      </c>
      <c r="E200" s="7">
        <f t="shared" si="15"/>
        <v>11.495523786077159</v>
      </c>
      <c r="F200" s="7">
        <f t="shared" si="12"/>
        <v>-12.342950073777233</v>
      </c>
      <c r="G200" s="7">
        <f t="shared" si="13"/>
        <v>152.34841652375741</v>
      </c>
    </row>
    <row r="201" spans="1:7">
      <c r="A201" s="7">
        <v>200</v>
      </c>
      <c r="B201" s="7">
        <v>68.963978879999999</v>
      </c>
      <c r="C201" s="7"/>
      <c r="D201" s="15">
        <f t="shared" si="14"/>
        <v>-0.99242004770007952</v>
      </c>
      <c r="E201" s="7">
        <f t="shared" si="15"/>
        <v>12.21952057303946</v>
      </c>
      <c r="F201" s="7">
        <f t="shared" si="12"/>
        <v>-13.21194062073954</v>
      </c>
      <c r="G201" s="7">
        <f t="shared" si="13"/>
        <v>174.55537496594749</v>
      </c>
    </row>
    <row r="202" spans="1:7">
      <c r="A202" s="7">
        <v>201</v>
      </c>
      <c r="B202" s="7">
        <v>71.056867600000004</v>
      </c>
      <c r="C202" s="7"/>
      <c r="D202" s="15">
        <f t="shared" si="14"/>
        <v>1.1004686722999253</v>
      </c>
      <c r="E202" s="7">
        <f t="shared" si="15"/>
        <v>13.079821214532144</v>
      </c>
      <c r="F202" s="7">
        <f t="shared" si="12"/>
        <v>-11.979352542232219</v>
      </c>
      <c r="G202" s="7">
        <f t="shared" si="13"/>
        <v>143.50488733108551</v>
      </c>
    </row>
    <row r="203" spans="1:7">
      <c r="A203" s="7">
        <v>202</v>
      </c>
      <c r="B203" s="7">
        <v>71.730730719999997</v>
      </c>
      <c r="C203" s="7"/>
      <c r="D203" s="15">
        <f t="shared" si="14"/>
        <v>1.7743317922999182</v>
      </c>
      <c r="E203" s="7">
        <f t="shared" si="15"/>
        <v>11.859559016809897</v>
      </c>
      <c r="F203" s="7">
        <f t="shared" si="12"/>
        <v>-10.085227224509978</v>
      </c>
      <c r="G203" s="7">
        <f t="shared" si="13"/>
        <v>101.71180816999724</v>
      </c>
    </row>
    <row r="204" spans="1:7">
      <c r="A204" s="7">
        <v>203</v>
      </c>
      <c r="B204" s="7">
        <v>70.663908640000002</v>
      </c>
      <c r="C204" s="7"/>
      <c r="D204" s="15">
        <f t="shared" si="14"/>
        <v>0.70750971229992388</v>
      </c>
      <c r="E204" s="7">
        <f t="shared" si="15"/>
        <v>9.9843749522648793</v>
      </c>
      <c r="F204" s="7">
        <f t="shared" si="12"/>
        <v>-9.2768652399649554</v>
      </c>
      <c r="G204" s="7">
        <f t="shared" si="13"/>
        <v>86.060228680470047</v>
      </c>
    </row>
    <row r="205" spans="1:7">
      <c r="A205" s="7">
        <v>204</v>
      </c>
      <c r="B205" s="7">
        <v>69.487908910000002</v>
      </c>
      <c r="C205" s="7"/>
      <c r="D205" s="15">
        <f t="shared" si="14"/>
        <v>-0.46849001770007703</v>
      </c>
      <c r="E205" s="7">
        <f t="shared" si="15"/>
        <v>9.1840965875653051</v>
      </c>
      <c r="F205" s="7">
        <f t="shared" si="12"/>
        <v>-9.6525866052653821</v>
      </c>
      <c r="G205" s="7">
        <f t="shared" si="13"/>
        <v>93.17242817214867</v>
      </c>
    </row>
    <row r="206" spans="1:7">
      <c r="A206" s="7">
        <v>205</v>
      </c>
      <c r="B206" s="7">
        <v>70.434490370000006</v>
      </c>
      <c r="C206" s="7"/>
      <c r="D206" s="15">
        <f t="shared" si="14"/>
        <v>0.47809144229992739</v>
      </c>
      <c r="E206" s="7">
        <f t="shared" si="15"/>
        <v>9.5560607392127288</v>
      </c>
      <c r="F206" s="7">
        <f t="shared" si="12"/>
        <v>-9.0779692969128014</v>
      </c>
      <c r="G206" s="7">
        <f t="shared" si="13"/>
        <v>82.4095265556915</v>
      </c>
    </row>
    <row r="207" spans="1:7">
      <c r="A207" s="7">
        <v>206</v>
      </c>
      <c r="B207" s="7">
        <v>70.819525630000001</v>
      </c>
      <c r="C207" s="7"/>
      <c r="D207" s="15">
        <f t="shared" si="14"/>
        <v>0.8631267022999225</v>
      </c>
      <c r="E207" s="7">
        <f t="shared" si="15"/>
        <v>8.9871896039436727</v>
      </c>
      <c r="F207" s="7">
        <f t="shared" si="12"/>
        <v>-8.1240629016437502</v>
      </c>
      <c r="G207" s="7">
        <f t="shared" si="13"/>
        <v>66.000398029864272</v>
      </c>
    </row>
    <row r="208" spans="1:7">
      <c r="A208" s="7">
        <v>207</v>
      </c>
      <c r="B208" s="7">
        <v>70.859420670000006</v>
      </c>
      <c r="C208" s="7"/>
      <c r="D208" s="15">
        <f t="shared" si="14"/>
        <v>0.90302174229992715</v>
      </c>
      <c r="E208" s="7">
        <f t="shared" si="15"/>
        <v>8.042822272627312</v>
      </c>
      <c r="F208" s="7">
        <f t="shared" si="12"/>
        <v>-7.1398005303273848</v>
      </c>
      <c r="G208" s="7">
        <f t="shared" si="13"/>
        <v>50.976751612863204</v>
      </c>
    </row>
    <row r="209" spans="1:7">
      <c r="A209" s="7">
        <v>208</v>
      </c>
      <c r="B209" s="7">
        <v>70.243602480000007</v>
      </c>
      <c r="C209" s="7"/>
      <c r="D209" s="15">
        <f t="shared" si="14"/>
        <v>0.28720355229992833</v>
      </c>
      <c r="E209" s="7">
        <f t="shared" si="15"/>
        <v>7.0684025250241111</v>
      </c>
      <c r="F209" s="7">
        <f t="shared" si="12"/>
        <v>-6.7811989727241828</v>
      </c>
      <c r="G209" s="7">
        <f t="shared" si="13"/>
        <v>45.984659507675509</v>
      </c>
    </row>
    <row r="210" spans="1:7">
      <c r="A210" s="7">
        <v>209</v>
      </c>
      <c r="B210" s="7">
        <v>68.200105260000001</v>
      </c>
      <c r="C210" s="7"/>
      <c r="D210" s="15">
        <f t="shared" si="14"/>
        <v>-1.7562936677000778</v>
      </c>
      <c r="E210" s="7">
        <f t="shared" si="15"/>
        <v>6.7133869829969406</v>
      </c>
      <c r="F210" s="7">
        <f t="shared" si="12"/>
        <v>-8.4696806506970184</v>
      </c>
      <c r="G210" s="7">
        <f t="shared" si="13"/>
        <v>71.735490324791471</v>
      </c>
    </row>
    <row r="211" spans="1:7">
      <c r="A211" s="7">
        <v>210</v>
      </c>
      <c r="B211" s="7">
        <v>68.734516429999999</v>
      </c>
      <c r="C211" s="7"/>
      <c r="D211" s="15">
        <f t="shared" si="14"/>
        <v>-1.2218824977000793</v>
      </c>
      <c r="E211" s="7">
        <f t="shared" si="15"/>
        <v>8.3849838441900477</v>
      </c>
      <c r="F211" s="7">
        <f t="shared" si="12"/>
        <v>-9.606866341890127</v>
      </c>
      <c r="G211" s="7">
        <f t="shared" si="13"/>
        <v>92.291880910941387</v>
      </c>
    </row>
    <row r="212" spans="1:7">
      <c r="A212" s="7">
        <v>211</v>
      </c>
      <c r="B212" s="7">
        <v>69.24818836</v>
      </c>
      <c r="C212" s="7"/>
      <c r="D212" s="15">
        <f t="shared" si="14"/>
        <v>-0.70821056770007829</v>
      </c>
      <c r="E212" s="7">
        <f t="shared" si="15"/>
        <v>9.510797678471226</v>
      </c>
      <c r="F212" s="7">
        <f t="shared" si="12"/>
        <v>-10.219008246171304</v>
      </c>
      <c r="G212" s="7">
        <f t="shared" si="13"/>
        <v>104.42812953531711</v>
      </c>
    </row>
    <row r="213" spans="1:7">
      <c r="A213" s="7">
        <v>212</v>
      </c>
      <c r="B213" s="7">
        <v>70.573613359999996</v>
      </c>
      <c r="C213" s="7"/>
      <c r="D213" s="15">
        <f t="shared" si="14"/>
        <v>0.61721443229991735</v>
      </c>
      <c r="E213" s="7">
        <f t="shared" si="15"/>
        <v>10.116818163709592</v>
      </c>
      <c r="F213" s="7">
        <f t="shared" si="12"/>
        <v>-9.4996037314096746</v>
      </c>
      <c r="G213" s="7">
        <f t="shared" si="13"/>
        <v>90.242471053812608</v>
      </c>
    </row>
    <row r="214" spans="1:7">
      <c r="A214" s="7">
        <v>213</v>
      </c>
      <c r="B214" s="7">
        <v>71.581553940000006</v>
      </c>
      <c r="C214" s="7"/>
      <c r="D214" s="15">
        <f t="shared" si="14"/>
        <v>1.6251550122999276</v>
      </c>
      <c r="E214" s="7">
        <f t="shared" si="15"/>
        <v>9.4046076940955778</v>
      </c>
      <c r="F214" s="7">
        <f t="shared" si="12"/>
        <v>-7.7794526817956502</v>
      </c>
      <c r="G214" s="7">
        <f t="shared" si="13"/>
        <v>60.519884028297533</v>
      </c>
    </row>
    <row r="215" spans="1:7">
      <c r="A215" s="7">
        <v>214</v>
      </c>
      <c r="B215" s="7">
        <v>70.118897309999994</v>
      </c>
      <c r="C215" s="7"/>
      <c r="D215" s="15">
        <f t="shared" si="14"/>
        <v>0.16249838229991553</v>
      </c>
      <c r="E215" s="7">
        <f t="shared" si="15"/>
        <v>7.7016581549776939</v>
      </c>
      <c r="F215" s="7">
        <f t="shared" si="12"/>
        <v>-7.5391597726777784</v>
      </c>
      <c r="G215" s="7">
        <f t="shared" si="13"/>
        <v>56.83893007796285</v>
      </c>
    </row>
    <row r="216" spans="1:7">
      <c r="A216" s="7">
        <v>215</v>
      </c>
      <c r="B216" s="7">
        <v>70.065257439999996</v>
      </c>
      <c r="C216" s="7"/>
      <c r="D216" s="15">
        <f t="shared" si="14"/>
        <v>0.10885851229991772</v>
      </c>
      <c r="E216" s="7">
        <f t="shared" si="15"/>
        <v>7.4637681749510003</v>
      </c>
      <c r="F216" s="7">
        <f t="shared" si="12"/>
        <v>-7.3549096626510826</v>
      </c>
      <c r="G216" s="7">
        <f t="shared" si="13"/>
        <v>54.094696145758263</v>
      </c>
    </row>
    <row r="217" spans="1:7">
      <c r="A217" s="7">
        <v>216</v>
      </c>
      <c r="B217" s="7">
        <v>71.739364269999996</v>
      </c>
      <c r="C217" s="7"/>
      <c r="D217" s="15">
        <f t="shared" si="14"/>
        <v>1.7829653422999172</v>
      </c>
      <c r="E217" s="7">
        <f t="shared" si="15"/>
        <v>7.2813605660245715</v>
      </c>
      <c r="F217" s="7">
        <f t="shared" si="12"/>
        <v>-5.4983952237246543</v>
      </c>
      <c r="G217" s="7">
        <f t="shared" si="13"/>
        <v>30.232350036278092</v>
      </c>
    </row>
    <row r="218" spans="1:7">
      <c r="A218" s="7">
        <v>217</v>
      </c>
      <c r="B218" s="7">
        <v>70.356328610000006</v>
      </c>
      <c r="C218" s="7"/>
      <c r="D218" s="15">
        <f t="shared" si="14"/>
        <v>0.39992968229992698</v>
      </c>
      <c r="E218" s="7">
        <f t="shared" si="15"/>
        <v>5.4434112714874079</v>
      </c>
      <c r="F218" s="7">
        <f t="shared" si="12"/>
        <v>-5.0434815891874809</v>
      </c>
      <c r="G218" s="7">
        <f t="shared" si="13"/>
        <v>25.436706540473079</v>
      </c>
    </row>
    <row r="219" spans="1:7">
      <c r="A219" s="7">
        <v>218</v>
      </c>
      <c r="B219" s="7">
        <v>71.373909620000006</v>
      </c>
      <c r="C219" s="7"/>
      <c r="D219" s="15">
        <f t="shared" si="14"/>
        <v>1.4175106922999277</v>
      </c>
      <c r="E219" s="7">
        <f t="shared" si="15"/>
        <v>4.9930467732956059</v>
      </c>
      <c r="F219" s="7">
        <f t="shared" si="12"/>
        <v>-3.5755360809956782</v>
      </c>
      <c r="G219" s="7">
        <f t="shared" si="13"/>
        <v>12.784458266501932</v>
      </c>
    </row>
    <row r="220" spans="1:7">
      <c r="A220" s="7">
        <v>219</v>
      </c>
      <c r="B220" s="7">
        <v>69.864861349999998</v>
      </c>
      <c r="C220" s="7"/>
      <c r="D220" s="15">
        <f t="shared" si="14"/>
        <v>-9.1537577700080419E-2</v>
      </c>
      <c r="E220" s="7">
        <f t="shared" si="15"/>
        <v>3.5397807201857212</v>
      </c>
      <c r="F220" s="7">
        <f t="shared" si="12"/>
        <v>-3.6313182978858016</v>
      </c>
      <c r="G220" s="7">
        <f t="shared" si="13"/>
        <v>13.186472580560235</v>
      </c>
    </row>
    <row r="221" spans="1:7">
      <c r="A221" s="7">
        <v>220</v>
      </c>
      <c r="B221" s="7">
        <v>69.529703679999997</v>
      </c>
      <c r="C221" s="7"/>
      <c r="D221" s="15">
        <f t="shared" si="14"/>
        <v>-0.42669524770008138</v>
      </c>
      <c r="E221" s="7">
        <f t="shared" si="15"/>
        <v>3.5950051149069435</v>
      </c>
      <c r="F221" s="7">
        <f t="shared" si="12"/>
        <v>-4.0217003626070245</v>
      </c>
      <c r="G221" s="7">
        <f t="shared" si="13"/>
        <v>16.174073806593473</v>
      </c>
    </row>
    <row r="222" spans="1:7">
      <c r="A222" s="7">
        <v>221</v>
      </c>
      <c r="B222" s="7">
        <v>69.747218189999998</v>
      </c>
      <c r="C222" s="7"/>
      <c r="D222" s="15">
        <f t="shared" si="14"/>
        <v>-0.2091807377000805</v>
      </c>
      <c r="E222" s="7">
        <f t="shared" si="15"/>
        <v>3.9814833589809542</v>
      </c>
      <c r="F222" s="7">
        <f t="shared" si="12"/>
        <v>-4.1906640966810347</v>
      </c>
      <c r="G222" s="7">
        <f t="shared" si="13"/>
        <v>17.561665571211471</v>
      </c>
    </row>
    <row r="223" spans="1:7">
      <c r="A223" s="7">
        <v>222</v>
      </c>
      <c r="B223" s="7">
        <v>70.000918709999993</v>
      </c>
      <c r="C223" s="7"/>
      <c r="D223" s="15">
        <f t="shared" si="14"/>
        <v>4.4519782299914823E-2</v>
      </c>
      <c r="E223" s="7">
        <f t="shared" si="15"/>
        <v>4.1487574557142244</v>
      </c>
      <c r="F223" s="7">
        <f t="shared" si="12"/>
        <v>-4.1042376734143096</v>
      </c>
      <c r="G223" s="7">
        <f t="shared" si="13"/>
        <v>16.844766879873305</v>
      </c>
    </row>
    <row r="224" spans="1:7">
      <c r="A224" s="7">
        <v>223</v>
      </c>
      <c r="B224" s="7">
        <v>69.238707730000002</v>
      </c>
      <c r="C224" s="7"/>
      <c r="D224" s="15">
        <f t="shared" si="14"/>
        <v>-0.71769119770007705</v>
      </c>
      <c r="E224" s="7">
        <f t="shared" si="15"/>
        <v>4.0631952966801661</v>
      </c>
      <c r="F224" s="7">
        <f t="shared" si="12"/>
        <v>-4.7808864943802432</v>
      </c>
      <c r="G224" s="7">
        <f t="shared" si="13"/>
        <v>22.85687567214741</v>
      </c>
    </row>
    <row r="225" spans="1:7">
      <c r="A225" s="7">
        <v>224</v>
      </c>
      <c r="B225" s="7">
        <v>68.95176592</v>
      </c>
      <c r="C225" s="7"/>
      <c r="D225" s="15">
        <f t="shared" si="14"/>
        <v>-1.0046330077000789</v>
      </c>
      <c r="E225" s="7">
        <f t="shared" si="15"/>
        <v>4.7330776294364405</v>
      </c>
      <c r="F225" s="7">
        <f t="shared" si="12"/>
        <v>-5.7377106371365194</v>
      </c>
      <c r="G225" s="7">
        <f t="shared" si="13"/>
        <v>32.921323355509564</v>
      </c>
    </row>
    <row r="226" spans="1:7">
      <c r="A226" s="7">
        <v>225</v>
      </c>
      <c r="B226" s="7">
        <v>68.931726949999998</v>
      </c>
      <c r="C226" s="7"/>
      <c r="D226" s="15">
        <f t="shared" si="14"/>
        <v>-1.0246719777000806</v>
      </c>
      <c r="E226" s="7">
        <f t="shared" si="15"/>
        <v>5.6803335307651546</v>
      </c>
      <c r="F226" s="7">
        <f t="shared" si="12"/>
        <v>-6.7050055084652351</v>
      </c>
      <c r="G226" s="7">
        <f t="shared" si="13"/>
        <v>44.957098868549146</v>
      </c>
    </row>
    <row r="227" spans="1:7">
      <c r="A227" s="7">
        <v>226</v>
      </c>
      <c r="B227" s="7">
        <v>70.000468990000002</v>
      </c>
      <c r="C227" s="7"/>
      <c r="D227" s="15">
        <f t="shared" si="14"/>
        <v>4.4070062299923052E-2</v>
      </c>
      <c r="E227" s="7">
        <f t="shared" si="15"/>
        <v>6.6379554533805827</v>
      </c>
      <c r="F227" s="7">
        <f t="shared" si="12"/>
        <v>-6.5938853910806596</v>
      </c>
      <c r="G227" s="7">
        <f t="shared" si="13"/>
        <v>43.479324550706941</v>
      </c>
    </row>
    <row r="228" spans="1:7">
      <c r="A228" s="7">
        <v>227</v>
      </c>
      <c r="B228" s="7">
        <v>70.650798420000001</v>
      </c>
      <c r="C228" s="7"/>
      <c r="D228" s="15">
        <f t="shared" si="14"/>
        <v>0.69439949229992237</v>
      </c>
      <c r="E228" s="7">
        <f t="shared" si="15"/>
        <v>6.5279465371698526</v>
      </c>
      <c r="F228" s="7">
        <f t="shared" si="12"/>
        <v>-5.8335470448699303</v>
      </c>
      <c r="G228" s="7">
        <f t="shared" si="13"/>
        <v>34.030271124710694</v>
      </c>
    </row>
    <row r="229" spans="1:7">
      <c r="A229" s="7">
        <v>228</v>
      </c>
      <c r="B229" s="7">
        <v>72.616282690000006</v>
      </c>
      <c r="C229" s="7"/>
      <c r="D229" s="15">
        <f t="shared" si="14"/>
        <v>2.659883762299927</v>
      </c>
      <c r="E229" s="7">
        <f t="shared" si="15"/>
        <v>5.7752115744212311</v>
      </c>
      <c r="F229" s="7">
        <f t="shared" si="12"/>
        <v>-3.1153278121213042</v>
      </c>
      <c r="G229" s="7">
        <f t="shared" si="13"/>
        <v>9.7052673769765114</v>
      </c>
    </row>
    <row r="230" spans="1:7">
      <c r="A230" s="7">
        <v>229</v>
      </c>
      <c r="B230" s="7">
        <v>72.745519090000002</v>
      </c>
      <c r="C230" s="7"/>
      <c r="D230" s="15">
        <f t="shared" si="14"/>
        <v>2.7891201622999233</v>
      </c>
      <c r="E230" s="7">
        <f t="shared" si="15"/>
        <v>3.0841745340000912</v>
      </c>
      <c r="F230" s="7">
        <f t="shared" si="12"/>
        <v>-0.29505437170016791</v>
      </c>
      <c r="G230" s="7">
        <f t="shared" si="13"/>
        <v>8.7057082259380844E-2</v>
      </c>
    </row>
    <row r="231" spans="1:7">
      <c r="A231" s="7">
        <v>230</v>
      </c>
      <c r="B231" s="7">
        <v>70.352583409999994</v>
      </c>
      <c r="C231" s="7"/>
      <c r="D231" s="15">
        <f t="shared" si="14"/>
        <v>0.39618448229991543</v>
      </c>
      <c r="E231" s="7">
        <f t="shared" si="15"/>
        <v>0.2921038279831662</v>
      </c>
      <c r="F231" s="7">
        <f t="shared" si="12"/>
        <v>0.10408065431674923</v>
      </c>
      <c r="G231" s="7">
        <f t="shared" si="13"/>
        <v>1.083278260300265E-2</v>
      </c>
    </row>
    <row r="232" spans="1:7">
      <c r="A232" s="7">
        <v>231</v>
      </c>
      <c r="B232" s="7">
        <v>69.712763929999994</v>
      </c>
      <c r="C232" s="7"/>
      <c r="D232" s="15">
        <f t="shared" si="14"/>
        <v>-0.24363499770008445</v>
      </c>
      <c r="E232" s="7">
        <f t="shared" si="15"/>
        <v>-0.10303984777358174</v>
      </c>
      <c r="F232" s="7">
        <f t="shared" si="12"/>
        <v>-0.14059514992650271</v>
      </c>
      <c r="G232" s="7">
        <f t="shared" si="13"/>
        <v>1.9766996182855774E-2</v>
      </c>
    </row>
    <row r="233" spans="1:7">
      <c r="A233" s="7">
        <v>232</v>
      </c>
      <c r="B233" s="7">
        <v>70.719001320000004</v>
      </c>
      <c r="C233" s="7"/>
      <c r="D233" s="15">
        <f t="shared" si="14"/>
        <v>0.76260239229992521</v>
      </c>
      <c r="E233" s="7">
        <f t="shared" si="15"/>
        <v>0.13918919842723768</v>
      </c>
      <c r="F233" s="7">
        <f t="shared" si="12"/>
        <v>0.62341319387268757</v>
      </c>
      <c r="G233" s="7">
        <f t="shared" si="13"/>
        <v>0.38864401029454515</v>
      </c>
    </row>
    <row r="234" spans="1:7">
      <c r="A234" s="7">
        <v>233</v>
      </c>
      <c r="B234" s="7">
        <v>70.548173439999999</v>
      </c>
      <c r="C234" s="7"/>
      <c r="D234" s="15">
        <f t="shared" si="14"/>
        <v>0.59177451229992073</v>
      </c>
      <c r="E234" s="7">
        <f t="shared" si="15"/>
        <v>-0.61717906193396066</v>
      </c>
      <c r="F234" s="7">
        <f t="shared" si="12"/>
        <v>1.2089535742338815</v>
      </c>
      <c r="G234" s="7">
        <f t="shared" si="13"/>
        <v>1.4615687446528773</v>
      </c>
    </row>
    <row r="235" spans="1:7">
      <c r="A235" s="7">
        <v>234</v>
      </c>
      <c r="B235" s="7">
        <v>70.043562089999995</v>
      </c>
      <c r="C235" s="7"/>
      <c r="D235" s="15">
        <f t="shared" si="14"/>
        <v>8.7163162299916053E-2</v>
      </c>
      <c r="E235" s="7">
        <f t="shared" si="15"/>
        <v>-1.1968640384915428</v>
      </c>
      <c r="F235" s="7">
        <f t="shared" si="12"/>
        <v>1.2840272007914588</v>
      </c>
      <c r="G235" s="7">
        <f t="shared" si="13"/>
        <v>1.6487258523723494</v>
      </c>
    </row>
    <row r="236" spans="1:7">
      <c r="A236" s="7">
        <v>235</v>
      </c>
      <c r="B236" s="7">
        <v>69.913260159999993</v>
      </c>
      <c r="C236" s="7"/>
      <c r="D236" s="15">
        <f t="shared" si="14"/>
        <v>-4.3138767700085623E-2</v>
      </c>
      <c r="E236" s="7">
        <f t="shared" si="15"/>
        <v>-1.2711869287835442</v>
      </c>
      <c r="F236" s="7">
        <f t="shared" si="12"/>
        <v>1.2280481610834586</v>
      </c>
      <c r="G236" s="7">
        <f t="shared" si="13"/>
        <v>1.5081022859404642</v>
      </c>
    </row>
    <row r="237" spans="1:7">
      <c r="A237" s="7">
        <v>236</v>
      </c>
      <c r="B237" s="7">
        <v>70.802164099999999</v>
      </c>
      <c r="C237" s="7"/>
      <c r="D237" s="15">
        <f t="shared" si="14"/>
        <v>0.84576517229992021</v>
      </c>
      <c r="E237" s="7">
        <f t="shared" si="15"/>
        <v>-1.215767679472624</v>
      </c>
      <c r="F237" s="7">
        <f t="shared" si="12"/>
        <v>2.0615328517725442</v>
      </c>
      <c r="G237" s="7">
        <f t="shared" si="13"/>
        <v>4.2499176989374385</v>
      </c>
    </row>
    <row r="238" spans="1:7">
      <c r="A238" s="7">
        <v>237</v>
      </c>
      <c r="B238" s="7">
        <v>69.658999890000004</v>
      </c>
      <c r="C238" s="7"/>
      <c r="D238" s="15">
        <f t="shared" si="14"/>
        <v>-0.29739903770007459</v>
      </c>
      <c r="E238" s="7">
        <f t="shared" si="15"/>
        <v>-2.0409175232548189</v>
      </c>
      <c r="F238" s="7">
        <f t="shared" si="12"/>
        <v>1.7435184855547443</v>
      </c>
      <c r="G238" s="7">
        <f t="shared" si="13"/>
        <v>3.0398567094711093</v>
      </c>
    </row>
    <row r="239" spans="1:7">
      <c r="A239" s="7">
        <v>238</v>
      </c>
      <c r="B239" s="7">
        <v>69.229081230000006</v>
      </c>
      <c r="C239" s="7"/>
      <c r="D239" s="15">
        <f t="shared" si="14"/>
        <v>-0.72731769770007304</v>
      </c>
      <c r="E239" s="7">
        <f t="shared" si="15"/>
        <v>-1.7260833006991969</v>
      </c>
      <c r="F239" s="7">
        <f t="shared" si="12"/>
        <v>0.99876560299912387</v>
      </c>
      <c r="G239" s="7">
        <f t="shared" si="13"/>
        <v>0.99753272973420348</v>
      </c>
    </row>
    <row r="240" spans="1:7">
      <c r="A240" s="7">
        <v>239</v>
      </c>
      <c r="B240" s="7">
        <v>70.110181920000002</v>
      </c>
      <c r="C240" s="7"/>
      <c r="D240" s="15">
        <f t="shared" si="14"/>
        <v>0.15378299229992365</v>
      </c>
      <c r="E240" s="7">
        <f t="shared" si="15"/>
        <v>-0.98877794696913257</v>
      </c>
      <c r="F240" s="7">
        <f t="shared" si="12"/>
        <v>1.1425609392690563</v>
      </c>
      <c r="G240" s="7">
        <f t="shared" si="13"/>
        <v>1.3054454999433882</v>
      </c>
    </row>
    <row r="241" spans="1:7">
      <c r="A241" s="7">
        <v>240</v>
      </c>
      <c r="B241" s="7">
        <v>70.608831850000001</v>
      </c>
      <c r="C241" s="7"/>
      <c r="D241" s="15">
        <f t="shared" si="14"/>
        <v>0.65243292229992278</v>
      </c>
      <c r="E241" s="7">
        <f t="shared" si="15"/>
        <v>-1.1311353298763658</v>
      </c>
      <c r="F241" s="7">
        <f t="shared" si="12"/>
        <v>1.7835682521762886</v>
      </c>
      <c r="G241" s="7">
        <f t="shared" si="13"/>
        <v>3.1811157101711807</v>
      </c>
    </row>
    <row r="242" spans="1:7">
      <c r="A242" s="7">
        <v>241</v>
      </c>
      <c r="B242" s="7">
        <v>70.571827299999995</v>
      </c>
      <c r="C242" s="7"/>
      <c r="D242" s="15">
        <f t="shared" si="14"/>
        <v>0.61542837229991676</v>
      </c>
      <c r="E242" s="7">
        <f t="shared" si="15"/>
        <v>-1.7657325696545256</v>
      </c>
      <c r="F242" s="7">
        <f t="shared" si="12"/>
        <v>2.3811609419544424</v>
      </c>
      <c r="G242" s="7">
        <f t="shared" si="13"/>
        <v>5.6699274314893673</v>
      </c>
    </row>
    <row r="243" spans="1:7">
      <c r="A243" s="7">
        <v>242</v>
      </c>
      <c r="B243" s="7">
        <v>69.790645659999996</v>
      </c>
      <c r="C243" s="7"/>
      <c r="D243" s="15">
        <f t="shared" si="14"/>
        <v>-0.16575326770008303</v>
      </c>
      <c r="E243" s="7">
        <f t="shared" si="15"/>
        <v>-2.357349332534898</v>
      </c>
      <c r="F243" s="7">
        <f t="shared" si="12"/>
        <v>2.1915960648348149</v>
      </c>
      <c r="G243" s="7">
        <f t="shared" si="13"/>
        <v>4.8030933113994463</v>
      </c>
    </row>
    <row r="244" spans="1:7">
      <c r="A244" s="7">
        <v>243</v>
      </c>
      <c r="B244" s="7">
        <v>70.675374989999995</v>
      </c>
      <c r="C244" s="7"/>
      <c r="D244" s="15">
        <f t="shared" si="14"/>
        <v>0.71897606229991595</v>
      </c>
      <c r="E244" s="7">
        <f t="shared" si="15"/>
        <v>-2.1696801041864666</v>
      </c>
      <c r="F244" s="7">
        <f t="shared" si="12"/>
        <v>2.8886561664863826</v>
      </c>
      <c r="G244" s="7">
        <f t="shared" si="13"/>
        <v>8.3443344481798043</v>
      </c>
    </row>
    <row r="245" spans="1:7">
      <c r="A245" s="7">
        <v>244</v>
      </c>
      <c r="B245" s="7">
        <v>72.601899549999999</v>
      </c>
      <c r="C245" s="7"/>
      <c r="D245" s="15">
        <f t="shared" si="14"/>
        <v>2.6455006222999202</v>
      </c>
      <c r="E245" s="7">
        <f t="shared" si="15"/>
        <v>-2.8597696048215187</v>
      </c>
      <c r="F245" s="7">
        <f t="shared" si="12"/>
        <v>5.5052702271214393</v>
      </c>
      <c r="G245" s="7">
        <f t="shared" si="13"/>
        <v>30.308000273629744</v>
      </c>
    </row>
    <row r="246" spans="1:7">
      <c r="A246" s="7">
        <v>245</v>
      </c>
      <c r="B246" s="7">
        <v>71.764942719999993</v>
      </c>
      <c r="C246" s="7"/>
      <c r="D246" s="15">
        <f t="shared" si="14"/>
        <v>1.8085437922999148</v>
      </c>
      <c r="E246" s="7">
        <f t="shared" si="15"/>
        <v>-5.4502175248502249</v>
      </c>
      <c r="F246" s="7">
        <f t="shared" si="12"/>
        <v>7.2587613171501397</v>
      </c>
      <c r="G246" s="7">
        <f t="shared" si="13"/>
        <v>52.689615859355229</v>
      </c>
    </row>
    <row r="247" spans="1:7">
      <c r="A247" s="7">
        <v>246</v>
      </c>
      <c r="B247" s="7">
        <v>70.085219069999994</v>
      </c>
      <c r="C247" s="7"/>
      <c r="D247" s="15">
        <f t="shared" si="14"/>
        <v>0.12882014229991512</v>
      </c>
      <c r="E247" s="7">
        <f t="shared" si="15"/>
        <v>-7.1861737039786382</v>
      </c>
      <c r="F247" s="7">
        <f t="shared" si="12"/>
        <v>7.3149938462785533</v>
      </c>
      <c r="G247" s="7">
        <f t="shared" si="13"/>
        <v>53.509134971093104</v>
      </c>
    </row>
    <row r="248" spans="1:7">
      <c r="A248" s="7">
        <v>247</v>
      </c>
      <c r="B248" s="7">
        <v>70.277388909999999</v>
      </c>
      <c r="C248" s="7"/>
      <c r="D248" s="15">
        <f t="shared" si="14"/>
        <v>0.32098998229992048</v>
      </c>
      <c r="E248" s="7">
        <f t="shared" si="15"/>
        <v>-7.2418439078157677</v>
      </c>
      <c r="F248" s="7">
        <f t="shared" si="12"/>
        <v>7.5628338901156882</v>
      </c>
      <c r="G248" s="7">
        <f t="shared" si="13"/>
        <v>57.19645644948239</v>
      </c>
    </row>
    <row r="249" spans="1:7">
      <c r="A249" s="7">
        <v>248</v>
      </c>
      <c r="B249" s="7">
        <v>69.601734989999997</v>
      </c>
      <c r="C249" s="7"/>
      <c r="D249" s="15">
        <f t="shared" si="14"/>
        <v>-0.35466393770008153</v>
      </c>
      <c r="E249" s="7">
        <f t="shared" si="15"/>
        <v>-7.4872055512145312</v>
      </c>
      <c r="F249" s="7">
        <f t="shared" si="12"/>
        <v>7.1325416135144497</v>
      </c>
      <c r="G249" s="7">
        <f t="shared" si="13"/>
        <v>50.873149868515313</v>
      </c>
    </row>
    <row r="250" spans="1:7">
      <c r="A250" s="7">
        <v>249</v>
      </c>
      <c r="B250" s="7">
        <v>68.928133979999998</v>
      </c>
      <c r="C250" s="7"/>
      <c r="D250" s="15">
        <f t="shared" si="14"/>
        <v>-1.0282649477000803</v>
      </c>
      <c r="E250" s="7">
        <f t="shared" si="15"/>
        <v>-7.0612161973793048</v>
      </c>
      <c r="F250" s="7">
        <f t="shared" si="12"/>
        <v>6.0329512496792246</v>
      </c>
      <c r="G250" s="7">
        <f t="shared" si="13"/>
        <v>36.396500781006118</v>
      </c>
    </row>
    <row r="251" spans="1:7">
      <c r="A251" s="7">
        <v>250</v>
      </c>
      <c r="B251" s="7">
        <v>69.509168639999999</v>
      </c>
      <c r="C251" s="7"/>
      <c r="D251" s="15">
        <f t="shared" si="14"/>
        <v>-0.44723028770008</v>
      </c>
      <c r="E251" s="7">
        <f t="shared" si="15"/>
        <v>-5.9726217371824326</v>
      </c>
      <c r="F251" s="7">
        <f t="shared" si="12"/>
        <v>5.5253914494823526</v>
      </c>
      <c r="G251" s="7">
        <f t="shared" si="13"/>
        <v>30.529950670012692</v>
      </c>
    </row>
    <row r="252" spans="1:7">
      <c r="A252" s="7">
        <v>251</v>
      </c>
      <c r="B252" s="7">
        <v>67.444264360000005</v>
      </c>
      <c r="C252" s="7"/>
      <c r="D252" s="15">
        <f t="shared" si="14"/>
        <v>-2.5121345677000733</v>
      </c>
      <c r="E252" s="7">
        <f t="shared" si="15"/>
        <v>-5.4701375349875292</v>
      </c>
      <c r="F252" s="7">
        <f t="shared" si="12"/>
        <v>2.9580029672874559</v>
      </c>
      <c r="G252" s="7">
        <f t="shared" si="13"/>
        <v>8.7497815544813946</v>
      </c>
    </row>
    <row r="253" spans="1:7">
      <c r="A253" s="7">
        <v>252</v>
      </c>
      <c r="B253" s="7">
        <v>67.459857659999997</v>
      </c>
      <c r="C253" s="7"/>
      <c r="D253" s="15">
        <f t="shared" si="14"/>
        <v>-2.4965412677000813</v>
      </c>
      <c r="E253" s="7">
        <f t="shared" si="15"/>
        <v>-2.9284229376145814</v>
      </c>
      <c r="F253" s="7">
        <f t="shared" si="12"/>
        <v>0.43188166991450005</v>
      </c>
      <c r="G253" s="7">
        <f t="shared" si="13"/>
        <v>0.18652177680813717</v>
      </c>
    </row>
    <row r="254" spans="1:7">
      <c r="A254" s="7">
        <v>253</v>
      </c>
      <c r="B254" s="7">
        <v>68.894673429999997</v>
      </c>
      <c r="C254" s="7"/>
      <c r="D254" s="15">
        <f t="shared" si="14"/>
        <v>-1.0617254977000812</v>
      </c>
      <c r="E254" s="7">
        <f t="shared" si="15"/>
        <v>-0.42756285321535503</v>
      </c>
      <c r="F254" s="7">
        <f t="shared" si="12"/>
        <v>-0.63416264448472615</v>
      </c>
      <c r="G254" s="7">
        <f t="shared" si="13"/>
        <v>0.40216225965986119</v>
      </c>
    </row>
    <row r="255" spans="1:7">
      <c r="A255" s="7">
        <v>254</v>
      </c>
      <c r="B255" s="7">
        <v>68.745457900000005</v>
      </c>
      <c r="C255" s="7"/>
      <c r="D255" s="15">
        <f t="shared" si="14"/>
        <v>-1.2109410277000734</v>
      </c>
      <c r="E255" s="7">
        <f t="shared" si="15"/>
        <v>0.62782101803987889</v>
      </c>
      <c r="F255" s="7">
        <f t="shared" si="12"/>
        <v>-1.8387620457399523</v>
      </c>
      <c r="G255" s="7">
        <f t="shared" si="13"/>
        <v>3.3810458608537743</v>
      </c>
    </row>
    <row r="256" spans="1:7">
      <c r="A256" s="7">
        <v>255</v>
      </c>
      <c r="B256" s="7">
        <v>68.546229609999997</v>
      </c>
      <c r="C256" s="7"/>
      <c r="D256" s="15">
        <f t="shared" si="14"/>
        <v>-1.4101693177000811</v>
      </c>
      <c r="E256" s="7">
        <f t="shared" si="15"/>
        <v>1.8203744252825527</v>
      </c>
      <c r="F256" s="7">
        <f t="shared" si="12"/>
        <v>-3.2305437429826336</v>
      </c>
      <c r="G256" s="7">
        <f t="shared" si="13"/>
        <v>10.436412875324244</v>
      </c>
    </row>
    <row r="257" spans="1:7">
      <c r="A257" s="7">
        <v>256</v>
      </c>
      <c r="B257" s="7">
        <v>69.067352060000005</v>
      </c>
      <c r="C257" s="7"/>
      <c r="D257" s="15">
        <f t="shared" si="14"/>
        <v>-0.88904686770007402</v>
      </c>
      <c r="E257" s="7">
        <f t="shared" si="15"/>
        <v>3.1982383055528074</v>
      </c>
      <c r="F257" s="7">
        <f t="shared" si="12"/>
        <v>-4.0872851732528819</v>
      </c>
      <c r="G257" s="7">
        <f t="shared" si="13"/>
        <v>16.705900087492839</v>
      </c>
    </row>
    <row r="258" spans="1:7">
      <c r="A258" s="7">
        <v>257</v>
      </c>
      <c r="B258" s="7">
        <v>68.233577060000002</v>
      </c>
      <c r="C258" s="7"/>
      <c r="D258" s="15">
        <f t="shared" si="14"/>
        <v>-1.7228218677000768</v>
      </c>
      <c r="E258" s="7">
        <f t="shared" si="15"/>
        <v>4.0464123215203527</v>
      </c>
      <c r="F258" s="7">
        <f t="shared" ref="F258:F321" si="16">D258-E258</f>
        <v>-5.7692341892204295</v>
      </c>
      <c r="G258" s="7">
        <f t="shared" ref="G258:G321" si="17">F258^2</f>
        <v>33.28406313006991</v>
      </c>
    </row>
    <row r="259" spans="1:7">
      <c r="A259" s="7">
        <v>258</v>
      </c>
      <c r="B259" s="7">
        <v>68.813868819999996</v>
      </c>
      <c r="C259" s="7"/>
      <c r="D259" s="15">
        <f t="shared" ref="D259:D322" si="18">B259-$C$2</f>
        <v>-1.1425301077000825</v>
      </c>
      <c r="E259" s="7">
        <f t="shared" ref="E259:E322" si="19">-0.99*F258</f>
        <v>5.7115418473282249</v>
      </c>
      <c r="F259" s="7">
        <f t="shared" si="16"/>
        <v>-6.8540719550283074</v>
      </c>
      <c r="G259" s="7">
        <f t="shared" si="17"/>
        <v>46.978302364705563</v>
      </c>
    </row>
    <row r="260" spans="1:7">
      <c r="A260" s="7">
        <v>259</v>
      </c>
      <c r="B260" s="7">
        <v>69.282978009999994</v>
      </c>
      <c r="C260" s="7"/>
      <c r="D260" s="15">
        <f t="shared" si="18"/>
        <v>-0.67342091770008494</v>
      </c>
      <c r="E260" s="7">
        <f t="shared" si="19"/>
        <v>6.7855312354780244</v>
      </c>
      <c r="F260" s="7">
        <f t="shared" si="16"/>
        <v>-7.4589521531781093</v>
      </c>
      <c r="G260" s="7">
        <f t="shared" si="17"/>
        <v>55.635967223400357</v>
      </c>
    </row>
    <row r="261" spans="1:7">
      <c r="A261" s="7">
        <v>260</v>
      </c>
      <c r="B261" s="7">
        <v>69.951031369999995</v>
      </c>
      <c r="C261" s="7"/>
      <c r="D261" s="15">
        <f t="shared" si="18"/>
        <v>-5.3675577000831254E-3</v>
      </c>
      <c r="E261" s="7">
        <f t="shared" si="19"/>
        <v>7.3843626316463284</v>
      </c>
      <c r="F261" s="7">
        <f t="shared" si="16"/>
        <v>-7.3897301893464116</v>
      </c>
      <c r="G261" s="7">
        <f t="shared" si="17"/>
        <v>54.608112271337752</v>
      </c>
    </row>
    <row r="262" spans="1:7">
      <c r="A262" s="7">
        <v>261</v>
      </c>
      <c r="B262" s="7">
        <v>71.339909449999993</v>
      </c>
      <c r="C262" s="7"/>
      <c r="D262" s="15">
        <f t="shared" si="18"/>
        <v>1.3835105222999147</v>
      </c>
      <c r="E262" s="7">
        <f t="shared" si="19"/>
        <v>7.315832887452947</v>
      </c>
      <c r="F262" s="7">
        <f t="shared" si="16"/>
        <v>-5.9323223651530324</v>
      </c>
      <c r="G262" s="7">
        <f t="shared" si="17"/>
        <v>35.192448644094867</v>
      </c>
    </row>
    <row r="263" spans="1:7">
      <c r="A263" s="7">
        <v>262</v>
      </c>
      <c r="B263" s="7">
        <v>70.991140669999993</v>
      </c>
      <c r="C263" s="7"/>
      <c r="D263" s="15">
        <f t="shared" si="18"/>
        <v>1.0347417422999143</v>
      </c>
      <c r="E263" s="7">
        <f t="shared" si="19"/>
        <v>5.8729991415015022</v>
      </c>
      <c r="F263" s="7">
        <f t="shared" si="16"/>
        <v>-4.8382573992015878</v>
      </c>
      <c r="G263" s="7">
        <f t="shared" si="17"/>
        <v>23.408734660928914</v>
      </c>
    </row>
    <row r="264" spans="1:7">
      <c r="A264" s="7">
        <v>263</v>
      </c>
      <c r="B264" s="7">
        <v>70.213773590000002</v>
      </c>
      <c r="C264" s="7"/>
      <c r="D264" s="15">
        <f t="shared" si="18"/>
        <v>0.25737466229992378</v>
      </c>
      <c r="E264" s="7">
        <f t="shared" si="19"/>
        <v>4.789874825209572</v>
      </c>
      <c r="F264" s="7">
        <f t="shared" si="16"/>
        <v>-4.5325001629096482</v>
      </c>
      <c r="G264" s="7">
        <f t="shared" si="17"/>
        <v>20.543557726775987</v>
      </c>
    </row>
    <row r="265" spans="1:7">
      <c r="A265" s="7">
        <v>264</v>
      </c>
      <c r="B265" s="7">
        <v>69.930376409999994</v>
      </c>
      <c r="C265" s="7"/>
      <c r="D265" s="15">
        <f t="shared" si="18"/>
        <v>-2.6022517700084791E-2</v>
      </c>
      <c r="E265" s="7">
        <f t="shared" si="19"/>
        <v>4.4871751612805513</v>
      </c>
      <c r="F265" s="7">
        <f t="shared" si="16"/>
        <v>-4.5131976789806361</v>
      </c>
      <c r="G265" s="7">
        <f t="shared" si="17"/>
        <v>20.368953289556199</v>
      </c>
    </row>
    <row r="266" spans="1:7">
      <c r="A266" s="7">
        <v>265</v>
      </c>
      <c r="B266" s="7">
        <v>70.121486540000006</v>
      </c>
      <c r="C266" s="7"/>
      <c r="D266" s="15">
        <f t="shared" si="18"/>
        <v>0.16508761229992786</v>
      </c>
      <c r="E266" s="7">
        <f t="shared" si="19"/>
        <v>4.4680657021908301</v>
      </c>
      <c r="F266" s="7">
        <f t="shared" si="16"/>
        <v>-4.3029780898909022</v>
      </c>
      <c r="G266" s="7">
        <f t="shared" si="17"/>
        <v>18.515620442081158</v>
      </c>
    </row>
    <row r="267" spans="1:7">
      <c r="A267" s="7">
        <v>266</v>
      </c>
      <c r="B267" s="7">
        <v>69.077040350000004</v>
      </c>
      <c r="C267" s="7"/>
      <c r="D267" s="15">
        <f t="shared" si="18"/>
        <v>-0.87935857770007431</v>
      </c>
      <c r="E267" s="7">
        <f t="shared" si="19"/>
        <v>4.2599483089919934</v>
      </c>
      <c r="F267" s="7">
        <f t="shared" si="16"/>
        <v>-5.1393068866920677</v>
      </c>
      <c r="G267" s="7">
        <f t="shared" si="17"/>
        <v>26.412475275600514</v>
      </c>
    </row>
    <row r="268" spans="1:7">
      <c r="A268" s="7">
        <v>267</v>
      </c>
      <c r="B268" s="7">
        <v>69.295002920000002</v>
      </c>
      <c r="C268" s="7"/>
      <c r="D268" s="15">
        <f t="shared" si="18"/>
        <v>-0.66139600770007689</v>
      </c>
      <c r="E268" s="7">
        <f t="shared" si="19"/>
        <v>5.0879138178251466</v>
      </c>
      <c r="F268" s="7">
        <f t="shared" si="16"/>
        <v>-5.7493098255252235</v>
      </c>
      <c r="G268" s="7">
        <f t="shared" si="17"/>
        <v>33.054563469880875</v>
      </c>
    </row>
    <row r="269" spans="1:7">
      <c r="A269" s="7">
        <v>268</v>
      </c>
      <c r="B269" s="7">
        <v>70.162640890000006</v>
      </c>
      <c r="C269" s="7"/>
      <c r="D269" s="15">
        <f t="shared" si="18"/>
        <v>0.2062419622999272</v>
      </c>
      <c r="E269" s="7">
        <f t="shared" si="19"/>
        <v>5.6918167272699716</v>
      </c>
      <c r="F269" s="7">
        <f t="shared" si="16"/>
        <v>-5.4855747649700444</v>
      </c>
      <c r="G269" s="7">
        <f t="shared" si="17"/>
        <v>30.091530502076157</v>
      </c>
    </row>
    <row r="270" spans="1:7">
      <c r="A270" s="7">
        <v>269</v>
      </c>
      <c r="B270" s="7">
        <v>68.938323670000003</v>
      </c>
      <c r="C270" s="7"/>
      <c r="D270" s="15">
        <f t="shared" si="18"/>
        <v>-1.018075257700076</v>
      </c>
      <c r="E270" s="7">
        <f t="shared" si="19"/>
        <v>5.4307190173203441</v>
      </c>
      <c r="F270" s="7">
        <f t="shared" si="16"/>
        <v>-6.4487942750204201</v>
      </c>
      <c r="G270" s="7">
        <f t="shared" si="17"/>
        <v>41.586947601536146</v>
      </c>
    </row>
    <row r="271" spans="1:7">
      <c r="A271" s="7">
        <v>270</v>
      </c>
      <c r="B271" s="7">
        <v>70.179854860000006</v>
      </c>
      <c r="C271" s="7"/>
      <c r="D271" s="15">
        <f t="shared" si="18"/>
        <v>0.22345593229992744</v>
      </c>
      <c r="E271" s="7">
        <f t="shared" si="19"/>
        <v>6.3843063322702163</v>
      </c>
      <c r="F271" s="7">
        <f t="shared" si="16"/>
        <v>-6.1608503999702888</v>
      </c>
      <c r="G271" s="7">
        <f t="shared" si="17"/>
        <v>37.956077650814066</v>
      </c>
    </row>
    <row r="272" spans="1:7">
      <c r="A272" s="7">
        <v>271</v>
      </c>
      <c r="B272" s="7">
        <v>71.507791850000004</v>
      </c>
      <c r="C272" s="7"/>
      <c r="D272" s="15">
        <f t="shared" si="18"/>
        <v>1.5513929222999252</v>
      </c>
      <c r="E272" s="7">
        <f t="shared" si="19"/>
        <v>6.0992418959705859</v>
      </c>
      <c r="F272" s="7">
        <f t="shared" si="16"/>
        <v>-4.5478489736706607</v>
      </c>
      <c r="G272" s="7">
        <f t="shared" si="17"/>
        <v>20.68293028731728</v>
      </c>
    </row>
    <row r="273" spans="1:7">
      <c r="A273" s="7">
        <v>272</v>
      </c>
      <c r="B273" s="7">
        <v>70.219342659999995</v>
      </c>
      <c r="C273" s="7"/>
      <c r="D273" s="15">
        <f t="shared" si="18"/>
        <v>0.26294373229991663</v>
      </c>
      <c r="E273" s="7">
        <f t="shared" si="19"/>
        <v>4.5023704839339542</v>
      </c>
      <c r="F273" s="7">
        <f t="shared" si="16"/>
        <v>-4.2394267516340376</v>
      </c>
      <c r="G273" s="7">
        <f t="shared" si="17"/>
        <v>17.972739182470328</v>
      </c>
    </row>
    <row r="274" spans="1:7">
      <c r="A274" s="7">
        <v>273</v>
      </c>
      <c r="B274" s="7">
        <v>69.437930249999994</v>
      </c>
      <c r="C274" s="7"/>
      <c r="D274" s="15">
        <f t="shared" si="18"/>
        <v>-0.51846867770008487</v>
      </c>
      <c r="E274" s="7">
        <f t="shared" si="19"/>
        <v>4.1970324841176971</v>
      </c>
      <c r="F274" s="7">
        <f t="shared" si="16"/>
        <v>-4.715501161817782</v>
      </c>
      <c r="G274" s="7">
        <f t="shared" si="17"/>
        <v>22.235951207104851</v>
      </c>
    </row>
    <row r="275" spans="1:7">
      <c r="A275" s="7">
        <v>274</v>
      </c>
      <c r="B275" s="7">
        <v>68.718765009999998</v>
      </c>
      <c r="C275" s="7"/>
      <c r="D275" s="15">
        <f t="shared" si="18"/>
        <v>-1.2376339177000801</v>
      </c>
      <c r="E275" s="7">
        <f t="shared" si="19"/>
        <v>4.6683461501996044</v>
      </c>
      <c r="F275" s="7">
        <f t="shared" si="16"/>
        <v>-5.9059800678996845</v>
      </c>
      <c r="G275" s="7">
        <f t="shared" si="17"/>
        <v>34.880600562428363</v>
      </c>
    </row>
    <row r="276" spans="1:7">
      <c r="A276" s="7">
        <v>275</v>
      </c>
      <c r="B276" s="7">
        <v>70.099260409999999</v>
      </c>
      <c r="C276" s="7"/>
      <c r="D276" s="15">
        <f t="shared" si="18"/>
        <v>0.14286148229992079</v>
      </c>
      <c r="E276" s="7">
        <f t="shared" si="19"/>
        <v>5.8469202672206873</v>
      </c>
      <c r="F276" s="7">
        <f t="shared" si="16"/>
        <v>-5.7040587849207665</v>
      </c>
      <c r="G276" s="7">
        <f t="shared" si="17"/>
        <v>32.536286621831771</v>
      </c>
    </row>
    <row r="277" spans="1:7">
      <c r="A277" s="7">
        <v>276</v>
      </c>
      <c r="B277" s="7">
        <v>69.382704459999999</v>
      </c>
      <c r="C277" s="7"/>
      <c r="D277" s="15">
        <f t="shared" si="18"/>
        <v>-0.57369446770007926</v>
      </c>
      <c r="E277" s="7">
        <f t="shared" si="19"/>
        <v>5.6470181970715592</v>
      </c>
      <c r="F277" s="7">
        <f t="shared" si="16"/>
        <v>-6.2207126647716384</v>
      </c>
      <c r="G277" s="7">
        <f t="shared" si="17"/>
        <v>38.697266057650261</v>
      </c>
    </row>
    <row r="278" spans="1:7">
      <c r="A278" s="7">
        <v>277</v>
      </c>
      <c r="B278" s="7">
        <v>69.377367539999995</v>
      </c>
      <c r="C278" s="7"/>
      <c r="D278" s="15">
        <f t="shared" si="18"/>
        <v>-0.57903138770008411</v>
      </c>
      <c r="E278" s="7">
        <f t="shared" si="19"/>
        <v>6.1585055381239222</v>
      </c>
      <c r="F278" s="7">
        <f t="shared" si="16"/>
        <v>-6.7375369258240063</v>
      </c>
      <c r="G278" s="7">
        <f t="shared" si="17"/>
        <v>45.394403826842002</v>
      </c>
    </row>
    <row r="279" spans="1:7">
      <c r="A279" s="7">
        <v>278</v>
      </c>
      <c r="B279" s="7">
        <v>68.952689280000001</v>
      </c>
      <c r="C279" s="7"/>
      <c r="D279" s="15">
        <f t="shared" si="18"/>
        <v>-1.0037096477000773</v>
      </c>
      <c r="E279" s="7">
        <f t="shared" si="19"/>
        <v>6.6701615565657661</v>
      </c>
      <c r="F279" s="7">
        <f t="shared" si="16"/>
        <v>-7.6738712042658435</v>
      </c>
      <c r="G279" s="7">
        <f t="shared" si="17"/>
        <v>58.888299259660506</v>
      </c>
    </row>
    <row r="280" spans="1:7">
      <c r="A280" s="7">
        <v>279</v>
      </c>
      <c r="B280" s="7">
        <v>69.609357579999994</v>
      </c>
      <c r="C280" s="7"/>
      <c r="D280" s="15">
        <f t="shared" si="18"/>
        <v>-0.34704134770008466</v>
      </c>
      <c r="E280" s="7">
        <f t="shared" si="19"/>
        <v>7.5971324922231851</v>
      </c>
      <c r="F280" s="7">
        <f t="shared" si="16"/>
        <v>-7.9441738399232698</v>
      </c>
      <c r="G280" s="7">
        <f t="shared" si="17"/>
        <v>63.109897998921227</v>
      </c>
    </row>
    <row r="281" spans="1:7">
      <c r="A281" s="7">
        <v>280</v>
      </c>
      <c r="B281" s="7">
        <v>68.285578490000006</v>
      </c>
      <c r="C281" s="7"/>
      <c r="D281" s="15">
        <f t="shared" si="18"/>
        <v>-1.6708204377000726</v>
      </c>
      <c r="E281" s="7">
        <f t="shared" si="19"/>
        <v>7.8647321015240372</v>
      </c>
      <c r="F281" s="7">
        <f t="shared" si="16"/>
        <v>-9.5355525392241098</v>
      </c>
      <c r="G281" s="7">
        <f t="shared" si="17"/>
        <v>90.926762228303375</v>
      </c>
    </row>
    <row r="282" spans="1:7">
      <c r="A282" s="7">
        <v>281</v>
      </c>
      <c r="B282" s="7">
        <v>70.415001459999999</v>
      </c>
      <c r="C282" s="7"/>
      <c r="D282" s="15">
        <f t="shared" si="18"/>
        <v>0.45860253229992054</v>
      </c>
      <c r="E282" s="7">
        <f t="shared" si="19"/>
        <v>9.4401970138318685</v>
      </c>
      <c r="F282" s="7">
        <f t="shared" si="16"/>
        <v>-8.9815944815319479</v>
      </c>
      <c r="G282" s="7">
        <f t="shared" si="17"/>
        <v>80.669039430685146</v>
      </c>
    </row>
    <row r="283" spans="1:7">
      <c r="A283" s="7">
        <v>282</v>
      </c>
      <c r="B283" s="7">
        <v>69.79872091</v>
      </c>
      <c r="C283" s="7"/>
      <c r="D283" s="15">
        <f t="shared" si="18"/>
        <v>-0.1576780177000785</v>
      </c>
      <c r="E283" s="7">
        <f t="shared" si="19"/>
        <v>8.8917785367166289</v>
      </c>
      <c r="F283" s="7">
        <f t="shared" si="16"/>
        <v>-9.0494565544167074</v>
      </c>
      <c r="G283" s="7">
        <f t="shared" si="17"/>
        <v>81.892663930275504</v>
      </c>
    </row>
    <row r="284" spans="1:7">
      <c r="A284" s="7">
        <v>283</v>
      </c>
      <c r="B284" s="7">
        <v>69.814626790000005</v>
      </c>
      <c r="C284" s="7"/>
      <c r="D284" s="15">
        <f t="shared" si="18"/>
        <v>-0.14177213770007313</v>
      </c>
      <c r="E284" s="7">
        <f t="shared" si="19"/>
        <v>8.9589619888725398</v>
      </c>
      <c r="F284" s="7">
        <f t="shared" si="16"/>
        <v>-9.1007341265726129</v>
      </c>
      <c r="G284" s="7">
        <f t="shared" si="17"/>
        <v>82.823361642563384</v>
      </c>
    </row>
    <row r="285" spans="1:7">
      <c r="A285" s="7">
        <v>284</v>
      </c>
      <c r="B285" s="7">
        <v>69.736636759999996</v>
      </c>
      <c r="C285" s="7"/>
      <c r="D285" s="15">
        <f t="shared" si="18"/>
        <v>-0.2197621677000825</v>
      </c>
      <c r="E285" s="7">
        <f t="shared" si="19"/>
        <v>9.0097267853068868</v>
      </c>
      <c r="F285" s="7">
        <f t="shared" si="16"/>
        <v>-9.2294889530069693</v>
      </c>
      <c r="G285" s="7">
        <f t="shared" si="17"/>
        <v>85.183466333677686</v>
      </c>
    </row>
    <row r="286" spans="1:7">
      <c r="A286" s="7">
        <v>285</v>
      </c>
      <c r="B286" s="7">
        <v>69.135479509999996</v>
      </c>
      <c r="C286" s="7"/>
      <c r="D286" s="15">
        <f t="shared" si="18"/>
        <v>-0.82091941770008248</v>
      </c>
      <c r="E286" s="7">
        <f t="shared" si="19"/>
        <v>9.1371940634768993</v>
      </c>
      <c r="F286" s="7">
        <f t="shared" si="16"/>
        <v>-9.9581134811769818</v>
      </c>
      <c r="G286" s="7">
        <f t="shared" si="17"/>
        <v>99.164024103998742</v>
      </c>
    </row>
    <row r="287" spans="1:7">
      <c r="A287" s="7">
        <v>286</v>
      </c>
      <c r="B287" s="7">
        <v>68.672516540000004</v>
      </c>
      <c r="C287" s="7"/>
      <c r="D287" s="15">
        <f t="shared" si="18"/>
        <v>-1.2838823877000749</v>
      </c>
      <c r="E287" s="7">
        <f t="shared" si="19"/>
        <v>9.8585323463652124</v>
      </c>
      <c r="F287" s="7">
        <f t="shared" si="16"/>
        <v>-11.142414734065287</v>
      </c>
      <c r="G287" s="7">
        <f t="shared" si="17"/>
        <v>124.15340610591521</v>
      </c>
    </row>
    <row r="288" spans="1:7">
      <c r="A288" s="7">
        <v>287</v>
      </c>
      <c r="B288" s="7">
        <v>70.399264619999997</v>
      </c>
      <c r="C288" s="7"/>
      <c r="D288" s="15">
        <f t="shared" si="18"/>
        <v>0.44286569229991812</v>
      </c>
      <c r="E288" s="7">
        <f t="shared" si="19"/>
        <v>11.030990586724634</v>
      </c>
      <c r="F288" s="7">
        <f t="shared" si="16"/>
        <v>-10.588124894424716</v>
      </c>
      <c r="G288" s="7">
        <f t="shared" si="17"/>
        <v>112.1083887799364</v>
      </c>
    </row>
    <row r="289" spans="1:7">
      <c r="A289" s="7">
        <v>288</v>
      </c>
      <c r="B289" s="7">
        <v>70.112163210000006</v>
      </c>
      <c r="C289" s="7"/>
      <c r="D289" s="15">
        <f t="shared" si="18"/>
        <v>0.155764282299927</v>
      </c>
      <c r="E289" s="7">
        <f t="shared" si="19"/>
        <v>10.482243645480469</v>
      </c>
      <c r="F289" s="7">
        <f t="shared" si="16"/>
        <v>-10.326479363180542</v>
      </c>
      <c r="G289" s="7">
        <f t="shared" si="17"/>
        <v>106.63617603819363</v>
      </c>
    </row>
    <row r="290" spans="1:7">
      <c r="A290" s="7">
        <v>289</v>
      </c>
      <c r="B290" s="7">
        <v>70.218688729999997</v>
      </c>
      <c r="C290" s="7"/>
      <c r="D290" s="15">
        <f t="shared" si="18"/>
        <v>0.26228980229991805</v>
      </c>
      <c r="E290" s="7">
        <f t="shared" si="19"/>
        <v>10.223214569548738</v>
      </c>
      <c r="F290" s="7">
        <f t="shared" si="16"/>
        <v>-9.9609247672488195</v>
      </c>
      <c r="G290" s="7">
        <f t="shared" si="17"/>
        <v>99.220022218790945</v>
      </c>
    </row>
    <row r="291" spans="1:7">
      <c r="A291" s="7">
        <v>290</v>
      </c>
      <c r="B291" s="7">
        <v>69.296067390000005</v>
      </c>
      <c r="C291" s="7"/>
      <c r="D291" s="15">
        <f t="shared" si="18"/>
        <v>-0.66033153770007402</v>
      </c>
      <c r="E291" s="7">
        <f t="shared" si="19"/>
        <v>9.8613155195763316</v>
      </c>
      <c r="F291" s="7">
        <f t="shared" si="16"/>
        <v>-10.521647057276406</v>
      </c>
      <c r="G291" s="7">
        <f t="shared" si="17"/>
        <v>110.70505679789325</v>
      </c>
    </row>
    <row r="292" spans="1:7">
      <c r="A292" s="7">
        <v>291</v>
      </c>
      <c r="B292" s="7">
        <v>68.864852380000002</v>
      </c>
      <c r="C292" s="7"/>
      <c r="D292" s="15">
        <f t="shared" si="18"/>
        <v>-1.0915465477000765</v>
      </c>
      <c r="E292" s="7">
        <f t="shared" si="19"/>
        <v>10.416430586703642</v>
      </c>
      <c r="F292" s="7">
        <f t="shared" si="16"/>
        <v>-11.507977134403719</v>
      </c>
      <c r="G292" s="7">
        <f t="shared" si="17"/>
        <v>132.43353772595881</v>
      </c>
    </row>
    <row r="293" spans="1:7">
      <c r="A293" s="7">
        <v>292</v>
      </c>
      <c r="B293" s="7">
        <v>70.002338359999996</v>
      </c>
      <c r="C293" s="7"/>
      <c r="D293" s="15">
        <f t="shared" si="18"/>
        <v>4.5939432299917371E-2</v>
      </c>
      <c r="E293" s="7">
        <f t="shared" si="19"/>
        <v>11.392897363059681</v>
      </c>
      <c r="F293" s="7">
        <f t="shared" si="16"/>
        <v>-11.346957930759764</v>
      </c>
      <c r="G293" s="7">
        <f t="shared" si="17"/>
        <v>128.7534542824319</v>
      </c>
    </row>
    <row r="294" spans="1:7">
      <c r="A294" s="7">
        <v>293</v>
      </c>
      <c r="B294" s="7">
        <v>71.2723558</v>
      </c>
      <c r="C294" s="7"/>
      <c r="D294" s="15">
        <f t="shared" si="18"/>
        <v>1.3159568722999211</v>
      </c>
      <c r="E294" s="7">
        <f t="shared" si="19"/>
        <v>11.233488351452166</v>
      </c>
      <c r="F294" s="7">
        <f t="shared" si="16"/>
        <v>-9.9175314791522453</v>
      </c>
      <c r="G294" s="7">
        <f t="shared" si="17"/>
        <v>98.357430639975718</v>
      </c>
    </row>
    <row r="295" spans="1:7">
      <c r="A295" s="7">
        <v>294</v>
      </c>
      <c r="B295" s="7">
        <v>70.587395569999998</v>
      </c>
      <c r="C295" s="7"/>
      <c r="D295" s="15">
        <f t="shared" si="18"/>
        <v>0.63099664229991959</v>
      </c>
      <c r="E295" s="7">
        <f t="shared" si="19"/>
        <v>9.818356164360722</v>
      </c>
      <c r="F295" s="7">
        <f t="shared" si="16"/>
        <v>-9.1873595220608024</v>
      </c>
      <c r="G295" s="7">
        <f t="shared" si="17"/>
        <v>84.407574987601294</v>
      </c>
    </row>
    <row r="296" spans="1:7">
      <c r="A296" s="7">
        <v>295</v>
      </c>
      <c r="B296" s="7">
        <v>68.54881073</v>
      </c>
      <c r="C296" s="7"/>
      <c r="D296" s="15">
        <f t="shared" si="18"/>
        <v>-1.407588197700079</v>
      </c>
      <c r="E296" s="7">
        <f t="shared" si="19"/>
        <v>9.095485926840194</v>
      </c>
      <c r="F296" s="7">
        <f t="shared" si="16"/>
        <v>-10.503074124540273</v>
      </c>
      <c r="G296" s="7">
        <f t="shared" si="17"/>
        <v>110.31456606558743</v>
      </c>
    </row>
    <row r="297" spans="1:7">
      <c r="A297" s="7">
        <v>296</v>
      </c>
      <c r="B297" s="7">
        <v>70.951023849999999</v>
      </c>
      <c r="C297" s="7"/>
      <c r="D297" s="15">
        <f t="shared" si="18"/>
        <v>0.99462492229991994</v>
      </c>
      <c r="E297" s="7">
        <f t="shared" si="19"/>
        <v>10.398043383294871</v>
      </c>
      <c r="F297" s="7">
        <f t="shared" si="16"/>
        <v>-9.4034184609949509</v>
      </c>
      <c r="G297" s="7">
        <f t="shared" si="17"/>
        <v>88.424278752580648</v>
      </c>
    </row>
    <row r="298" spans="1:7">
      <c r="A298" s="7">
        <v>297</v>
      </c>
      <c r="B298" s="7">
        <v>70.149421779999997</v>
      </c>
      <c r="C298" s="7"/>
      <c r="D298" s="15">
        <f t="shared" si="18"/>
        <v>0.19302285229991867</v>
      </c>
      <c r="E298" s="7">
        <f t="shared" si="19"/>
        <v>9.3093842763850017</v>
      </c>
      <c r="F298" s="7">
        <f t="shared" si="16"/>
        <v>-9.116361424085083</v>
      </c>
      <c r="G298" s="7">
        <f t="shared" si="17"/>
        <v>83.108045614546597</v>
      </c>
    </row>
    <row r="299" spans="1:7">
      <c r="A299" s="7">
        <v>298</v>
      </c>
      <c r="B299" s="7">
        <v>68.262758509999998</v>
      </c>
      <c r="C299" s="7"/>
      <c r="D299" s="15">
        <f t="shared" si="18"/>
        <v>-1.693640417700081</v>
      </c>
      <c r="E299" s="7">
        <f t="shared" si="19"/>
        <v>9.0251978098442329</v>
      </c>
      <c r="F299" s="7">
        <f t="shared" si="16"/>
        <v>-10.718838227544314</v>
      </c>
      <c r="G299" s="7">
        <f t="shared" si="17"/>
        <v>114.89349294826533</v>
      </c>
    </row>
    <row r="300" spans="1:7">
      <c r="A300" s="7">
        <v>299</v>
      </c>
      <c r="B300" s="7">
        <v>71.507253160000005</v>
      </c>
      <c r="C300" s="7"/>
      <c r="D300" s="15">
        <f t="shared" si="18"/>
        <v>1.5508542322999261</v>
      </c>
      <c r="E300" s="7">
        <f t="shared" si="19"/>
        <v>10.61164984526887</v>
      </c>
      <c r="F300" s="7">
        <f t="shared" si="16"/>
        <v>-9.0607956129689438</v>
      </c>
      <c r="G300" s="7">
        <f t="shared" si="17"/>
        <v>82.098017139997253</v>
      </c>
    </row>
    <row r="301" spans="1:7">
      <c r="A301" s="7">
        <v>300</v>
      </c>
      <c r="B301" s="7">
        <v>71.021492050000006</v>
      </c>
      <c r="C301" s="7"/>
      <c r="D301" s="15">
        <f t="shared" si="18"/>
        <v>1.0650931222999276</v>
      </c>
      <c r="E301" s="7">
        <f t="shared" si="19"/>
        <v>8.9701876568392542</v>
      </c>
      <c r="F301" s="7">
        <f t="shared" si="16"/>
        <v>-7.9050945345393266</v>
      </c>
      <c r="G301" s="7">
        <f t="shared" si="17"/>
        <v>62.49051960000353</v>
      </c>
    </row>
    <row r="302" spans="1:7">
      <c r="A302" s="7">
        <v>301</v>
      </c>
      <c r="B302" s="7">
        <v>68.698986590000004</v>
      </c>
      <c r="C302" s="7"/>
      <c r="D302" s="15">
        <f t="shared" si="18"/>
        <v>-1.2574123377000745</v>
      </c>
      <c r="E302" s="7">
        <f t="shared" si="19"/>
        <v>7.8260435891939331</v>
      </c>
      <c r="F302" s="7">
        <f t="shared" si="16"/>
        <v>-9.0834559268940076</v>
      </c>
      <c r="G302" s="7">
        <f t="shared" si="17"/>
        <v>82.509171575825874</v>
      </c>
    </row>
    <row r="303" spans="1:7">
      <c r="A303" s="7">
        <v>302</v>
      </c>
      <c r="B303" s="7">
        <v>68.229504570000003</v>
      </c>
      <c r="C303" s="7"/>
      <c r="D303" s="15">
        <f t="shared" si="18"/>
        <v>-1.7268943577000755</v>
      </c>
      <c r="E303" s="7">
        <f t="shared" si="19"/>
        <v>8.9926213676250679</v>
      </c>
      <c r="F303" s="7">
        <f t="shared" si="16"/>
        <v>-10.719515725325143</v>
      </c>
      <c r="G303" s="7">
        <f t="shared" si="17"/>
        <v>114.90801738549304</v>
      </c>
    </row>
    <row r="304" spans="1:7">
      <c r="A304" s="7">
        <v>303</v>
      </c>
      <c r="B304" s="7">
        <v>69.695551660000007</v>
      </c>
      <c r="C304" s="7"/>
      <c r="D304" s="15">
        <f t="shared" si="18"/>
        <v>-0.26084726770007194</v>
      </c>
      <c r="E304" s="7">
        <f t="shared" si="19"/>
        <v>10.612320568071892</v>
      </c>
      <c r="F304" s="7">
        <f t="shared" si="16"/>
        <v>-10.873167835771964</v>
      </c>
      <c r="G304" s="7">
        <f t="shared" si="17"/>
        <v>118.22577878486598</v>
      </c>
    </row>
    <row r="305" spans="1:7">
      <c r="A305" s="7">
        <v>304</v>
      </c>
      <c r="B305" s="7">
        <v>70.538791180000004</v>
      </c>
      <c r="C305" s="7"/>
      <c r="D305" s="15">
        <f t="shared" si="18"/>
        <v>0.58239225229992542</v>
      </c>
      <c r="E305" s="7">
        <f t="shared" si="19"/>
        <v>10.764436157414245</v>
      </c>
      <c r="F305" s="7">
        <f t="shared" si="16"/>
        <v>-10.18204390511432</v>
      </c>
      <c r="G305" s="7">
        <f t="shared" si="17"/>
        <v>103.67401808567567</v>
      </c>
    </row>
    <row r="306" spans="1:7">
      <c r="A306" s="7">
        <v>305</v>
      </c>
      <c r="B306" s="7">
        <v>69.562880010000001</v>
      </c>
      <c r="C306" s="7"/>
      <c r="D306" s="15">
        <f t="shared" si="18"/>
        <v>-0.39351891770007796</v>
      </c>
      <c r="E306" s="7">
        <f t="shared" si="19"/>
        <v>10.080223466063176</v>
      </c>
      <c r="F306" s="7">
        <f t="shared" si="16"/>
        <v>-10.473742383763254</v>
      </c>
      <c r="G306" s="7">
        <f t="shared" si="17"/>
        <v>109.69927952143877</v>
      </c>
    </row>
    <row r="307" spans="1:7">
      <c r="A307" s="7">
        <v>306</v>
      </c>
      <c r="B307" s="7">
        <v>71.398814250000001</v>
      </c>
      <c r="C307" s="7"/>
      <c r="D307" s="15">
        <f t="shared" si="18"/>
        <v>1.4424153222999223</v>
      </c>
      <c r="E307" s="7">
        <f t="shared" si="19"/>
        <v>10.36900495992562</v>
      </c>
      <c r="F307" s="7">
        <f t="shared" si="16"/>
        <v>-8.9265896376256979</v>
      </c>
      <c r="G307" s="7">
        <f t="shared" si="17"/>
        <v>79.68400255856649</v>
      </c>
    </row>
    <row r="308" spans="1:7">
      <c r="A308" s="7">
        <v>307</v>
      </c>
      <c r="B308" s="7">
        <v>70.448844870000002</v>
      </c>
      <c r="C308" s="7"/>
      <c r="D308" s="15">
        <f t="shared" si="18"/>
        <v>0.49244594229992344</v>
      </c>
      <c r="E308" s="7">
        <f t="shared" si="19"/>
        <v>8.8373237412494401</v>
      </c>
      <c r="F308" s="7">
        <f t="shared" si="16"/>
        <v>-8.3448777989495166</v>
      </c>
      <c r="G308" s="7">
        <f t="shared" si="17"/>
        <v>69.636985479400536</v>
      </c>
    </row>
    <row r="309" spans="1:7">
      <c r="A309" s="7">
        <v>308</v>
      </c>
      <c r="B309" s="7">
        <v>68.664976060000001</v>
      </c>
      <c r="C309" s="7"/>
      <c r="D309" s="15">
        <f t="shared" si="18"/>
        <v>-1.2914228677000779</v>
      </c>
      <c r="E309" s="7">
        <f t="shared" si="19"/>
        <v>8.261429020960021</v>
      </c>
      <c r="F309" s="7">
        <f t="shared" si="16"/>
        <v>-9.5528518886600988</v>
      </c>
      <c r="G309" s="7">
        <f t="shared" si="17"/>
        <v>91.256979206676817</v>
      </c>
    </row>
    <row r="310" spans="1:7">
      <c r="A310" s="7">
        <v>309</v>
      </c>
      <c r="B310" s="7">
        <v>70.025025569999997</v>
      </c>
      <c r="C310" s="7"/>
      <c r="D310" s="15">
        <f t="shared" si="18"/>
        <v>6.8626642299918217E-2</v>
      </c>
      <c r="E310" s="7">
        <f t="shared" si="19"/>
        <v>9.4573233697734977</v>
      </c>
      <c r="F310" s="7">
        <f t="shared" si="16"/>
        <v>-9.3886967274735795</v>
      </c>
      <c r="G310" s="7">
        <f t="shared" si="17"/>
        <v>88.147626240473102</v>
      </c>
    </row>
    <row r="311" spans="1:7">
      <c r="A311" s="7">
        <v>310</v>
      </c>
      <c r="B311" s="7">
        <v>71.744585369999996</v>
      </c>
      <c r="C311" s="7"/>
      <c r="D311" s="15">
        <f t="shared" si="18"/>
        <v>1.7881864422999172</v>
      </c>
      <c r="E311" s="7">
        <f t="shared" si="19"/>
        <v>9.2948097601988433</v>
      </c>
      <c r="F311" s="7">
        <f t="shared" si="16"/>
        <v>-7.5066233178989261</v>
      </c>
      <c r="G311" s="7">
        <f t="shared" si="17"/>
        <v>56.349393636823883</v>
      </c>
    </row>
    <row r="312" spans="1:7">
      <c r="A312" s="7">
        <v>311</v>
      </c>
      <c r="B312" s="7">
        <v>70.221750450000002</v>
      </c>
      <c r="C312" s="7"/>
      <c r="D312" s="15">
        <f t="shared" si="18"/>
        <v>0.2653515222999232</v>
      </c>
      <c r="E312" s="7">
        <f t="shared" si="19"/>
        <v>7.4315570847199366</v>
      </c>
      <c r="F312" s="7">
        <f t="shared" si="16"/>
        <v>-7.1662055624200134</v>
      </c>
      <c r="G312" s="7">
        <f t="shared" si="17"/>
        <v>51.354502162859539</v>
      </c>
    </row>
    <row r="313" spans="1:7">
      <c r="A313" s="7">
        <v>312</v>
      </c>
      <c r="B313" s="7">
        <v>68.208327370000006</v>
      </c>
      <c r="C313" s="7"/>
      <c r="D313" s="15">
        <f t="shared" si="18"/>
        <v>-1.7480715577000723</v>
      </c>
      <c r="E313" s="7">
        <f t="shared" si="19"/>
        <v>7.0945435067958131</v>
      </c>
      <c r="F313" s="7">
        <f t="shared" si="16"/>
        <v>-8.8426150644958845</v>
      </c>
      <c r="G313" s="7">
        <f t="shared" si="17"/>
        <v>78.191841178849558</v>
      </c>
    </row>
    <row r="314" spans="1:7">
      <c r="A314" s="7">
        <v>313</v>
      </c>
      <c r="B314" s="7">
        <v>69.888909549999994</v>
      </c>
      <c r="C314" s="7"/>
      <c r="D314" s="15">
        <f t="shared" si="18"/>
        <v>-6.7489377700084674E-2</v>
      </c>
      <c r="E314" s="7">
        <f t="shared" si="19"/>
        <v>8.7541889138509248</v>
      </c>
      <c r="F314" s="7">
        <f t="shared" si="16"/>
        <v>-8.8216782915510095</v>
      </c>
      <c r="G314" s="7">
        <f t="shared" si="17"/>
        <v>77.822007879622333</v>
      </c>
    </row>
    <row r="315" spans="1:7">
      <c r="A315" s="7">
        <v>314</v>
      </c>
      <c r="B315" s="7">
        <v>68.42352391</v>
      </c>
      <c r="C315" s="7"/>
      <c r="D315" s="15">
        <f t="shared" si="18"/>
        <v>-1.5328750177000785</v>
      </c>
      <c r="E315" s="7">
        <f t="shared" si="19"/>
        <v>8.7334615086355001</v>
      </c>
      <c r="F315" s="7">
        <f t="shared" si="16"/>
        <v>-10.266336526335579</v>
      </c>
      <c r="G315" s="7">
        <f t="shared" si="17"/>
        <v>105.39766567197208</v>
      </c>
    </row>
    <row r="316" spans="1:7">
      <c r="A316" s="7">
        <v>315</v>
      </c>
      <c r="B316" s="7">
        <v>67.860819820000003</v>
      </c>
      <c r="C316" s="7"/>
      <c r="D316" s="15">
        <f t="shared" si="18"/>
        <v>-2.0955791077000754</v>
      </c>
      <c r="E316" s="7">
        <f t="shared" si="19"/>
        <v>10.163673161072223</v>
      </c>
      <c r="F316" s="7">
        <f t="shared" si="16"/>
        <v>-12.259252268772299</v>
      </c>
      <c r="G316" s="7">
        <f t="shared" si="17"/>
        <v>150.28926618939875</v>
      </c>
    </row>
    <row r="317" spans="1:7">
      <c r="A317" s="7">
        <v>316</v>
      </c>
      <c r="B317" s="7">
        <v>70.156880869999995</v>
      </c>
      <c r="C317" s="7"/>
      <c r="D317" s="15">
        <f t="shared" si="18"/>
        <v>0.20048194229991623</v>
      </c>
      <c r="E317" s="7">
        <f t="shared" si="19"/>
        <v>12.136659746084575</v>
      </c>
      <c r="F317" s="7">
        <f t="shared" si="16"/>
        <v>-11.936177803784659</v>
      </c>
      <c r="G317" s="7">
        <f t="shared" si="17"/>
        <v>142.47234056356157</v>
      </c>
    </row>
    <row r="318" spans="1:7">
      <c r="A318" s="7">
        <v>317</v>
      </c>
      <c r="B318" s="7">
        <v>70.68053003</v>
      </c>
      <c r="C318" s="7"/>
      <c r="D318" s="15">
        <f t="shared" si="18"/>
        <v>0.72413110229992128</v>
      </c>
      <c r="E318" s="7">
        <f t="shared" si="19"/>
        <v>11.816816025746812</v>
      </c>
      <c r="F318" s="7">
        <f t="shared" si="16"/>
        <v>-11.092684923446891</v>
      </c>
      <c r="G318" s="7">
        <f t="shared" si="17"/>
        <v>123.04765881086595</v>
      </c>
    </row>
    <row r="319" spans="1:7">
      <c r="A319" s="7">
        <v>318</v>
      </c>
      <c r="B319" s="7">
        <v>70.097316410000005</v>
      </c>
      <c r="C319" s="7"/>
      <c r="D319" s="15">
        <f t="shared" si="18"/>
        <v>0.14091748229992618</v>
      </c>
      <c r="E319" s="7">
        <f t="shared" si="19"/>
        <v>10.981758074212422</v>
      </c>
      <c r="F319" s="7">
        <f t="shared" si="16"/>
        <v>-10.840840591912496</v>
      </c>
      <c r="G319" s="7">
        <f t="shared" si="17"/>
        <v>117.52382473925768</v>
      </c>
    </row>
    <row r="320" spans="1:7">
      <c r="A320" s="7">
        <v>319</v>
      </c>
      <c r="B320" s="7">
        <v>70.207047439999997</v>
      </c>
      <c r="C320" s="7"/>
      <c r="D320" s="15">
        <f t="shared" si="18"/>
        <v>0.25064851229991802</v>
      </c>
      <c r="E320" s="7">
        <f t="shared" si="19"/>
        <v>10.732432185993371</v>
      </c>
      <c r="F320" s="7">
        <f t="shared" si="16"/>
        <v>-10.481783673693453</v>
      </c>
      <c r="G320" s="7">
        <f t="shared" si="17"/>
        <v>109.86778898210662</v>
      </c>
    </row>
    <row r="321" spans="1:7">
      <c r="A321" s="7">
        <v>320</v>
      </c>
      <c r="B321" s="7">
        <v>69.942259120000003</v>
      </c>
      <c r="C321" s="7"/>
      <c r="D321" s="15">
        <f t="shared" si="18"/>
        <v>-1.4139807700075835E-2</v>
      </c>
      <c r="E321" s="7">
        <f t="shared" si="19"/>
        <v>10.376965836956519</v>
      </c>
      <c r="F321" s="7">
        <f t="shared" si="16"/>
        <v>-10.391105644656594</v>
      </c>
      <c r="G321" s="7">
        <f t="shared" si="17"/>
        <v>107.97507651841414</v>
      </c>
    </row>
    <row r="322" spans="1:7">
      <c r="A322" s="7">
        <v>321</v>
      </c>
      <c r="B322" s="7">
        <v>68.604554519999994</v>
      </c>
      <c r="C322" s="7"/>
      <c r="D322" s="15">
        <f t="shared" si="18"/>
        <v>-1.3518444077000851</v>
      </c>
      <c r="E322" s="7">
        <f t="shared" si="19"/>
        <v>10.287194588210028</v>
      </c>
      <c r="F322" s="7">
        <f t="shared" ref="F322:F385" si="20">D322-E322</f>
        <v>-11.639038995910113</v>
      </c>
      <c r="G322" s="7">
        <f t="shared" ref="G322:G385" si="21">F322^2</f>
        <v>135.46722874831627</v>
      </c>
    </row>
    <row r="323" spans="1:7">
      <c r="A323" s="7">
        <v>322</v>
      </c>
      <c r="B323" s="7">
        <v>70.45613032</v>
      </c>
      <c r="C323" s="7"/>
      <c r="D323" s="15">
        <f t="shared" ref="D323:D386" si="22">B323-$C$2</f>
        <v>0.49973139229992114</v>
      </c>
      <c r="E323" s="7">
        <f t="shared" ref="E323:E386" si="23">-0.99*F322</f>
        <v>11.522648605951012</v>
      </c>
      <c r="F323" s="7">
        <f t="shared" si="20"/>
        <v>-11.022917213651091</v>
      </c>
      <c r="G323" s="7">
        <f t="shared" si="21"/>
        <v>121.50470389900553</v>
      </c>
    </row>
    <row r="324" spans="1:7">
      <c r="A324" s="7">
        <v>323</v>
      </c>
      <c r="B324" s="7">
        <v>72.017325889999995</v>
      </c>
      <c r="C324" s="7"/>
      <c r="D324" s="15">
        <f t="shared" si="22"/>
        <v>2.0609269622999165</v>
      </c>
      <c r="E324" s="7">
        <f t="shared" si="23"/>
        <v>10.912688041514579</v>
      </c>
      <c r="F324" s="7">
        <f t="shared" si="20"/>
        <v>-8.851761079214663</v>
      </c>
      <c r="G324" s="7">
        <f t="shared" si="21"/>
        <v>78.353674203499537</v>
      </c>
    </row>
    <row r="325" spans="1:7">
      <c r="A325" s="7">
        <v>324</v>
      </c>
      <c r="B325" s="7">
        <v>71.278889000000007</v>
      </c>
      <c r="C325" s="7"/>
      <c r="D325" s="15">
        <f t="shared" si="22"/>
        <v>1.322490072299928</v>
      </c>
      <c r="E325" s="7">
        <f t="shared" si="23"/>
        <v>8.763243468422516</v>
      </c>
      <c r="F325" s="7">
        <f t="shared" si="20"/>
        <v>-7.440753396122588</v>
      </c>
      <c r="G325" s="7">
        <f t="shared" si="21"/>
        <v>55.364811101909829</v>
      </c>
    </row>
    <row r="326" spans="1:7">
      <c r="A326" s="7">
        <v>325</v>
      </c>
      <c r="B326" s="7">
        <v>70.207269650000001</v>
      </c>
      <c r="C326" s="7"/>
      <c r="D326" s="15">
        <f t="shared" si="22"/>
        <v>0.25087072229992202</v>
      </c>
      <c r="E326" s="7">
        <f t="shared" si="23"/>
        <v>7.3663458621613618</v>
      </c>
      <c r="F326" s="7">
        <f t="shared" si="20"/>
        <v>-7.1154751398614398</v>
      </c>
      <c r="G326" s="7">
        <f t="shared" si="21"/>
        <v>50.629986465986178</v>
      </c>
    </row>
    <row r="327" spans="1:7">
      <c r="A327" s="7">
        <v>326</v>
      </c>
      <c r="B327" s="7">
        <v>72.080319900000006</v>
      </c>
      <c r="C327" s="7"/>
      <c r="D327" s="15">
        <f t="shared" si="22"/>
        <v>2.1239209722999277</v>
      </c>
      <c r="E327" s="7">
        <f t="shared" si="23"/>
        <v>7.0443203884628254</v>
      </c>
      <c r="F327" s="7">
        <f t="shared" si="20"/>
        <v>-4.9203994161628977</v>
      </c>
      <c r="G327" s="7">
        <f t="shared" si="21"/>
        <v>24.210330414576184</v>
      </c>
    </row>
    <row r="328" spans="1:7">
      <c r="A328" s="7">
        <v>327</v>
      </c>
      <c r="B328" s="7">
        <v>70.909578199999999</v>
      </c>
      <c r="C328" s="7"/>
      <c r="D328" s="15">
        <f t="shared" si="22"/>
        <v>0.95317927229991994</v>
      </c>
      <c r="E328" s="7">
        <f t="shared" si="23"/>
        <v>4.8711954220012688</v>
      </c>
      <c r="F328" s="7">
        <f t="shared" si="20"/>
        <v>-3.9180161497013488</v>
      </c>
      <c r="G328" s="7">
        <f t="shared" si="21"/>
        <v>15.350850549320581</v>
      </c>
    </row>
    <row r="329" spans="1:7">
      <c r="A329" s="7">
        <v>328</v>
      </c>
      <c r="B329" s="7">
        <v>69.662073969999994</v>
      </c>
      <c r="C329" s="7"/>
      <c r="D329" s="15">
        <f t="shared" si="22"/>
        <v>-0.29432495770008416</v>
      </c>
      <c r="E329" s="7">
        <f t="shared" si="23"/>
        <v>3.8788359882043353</v>
      </c>
      <c r="F329" s="7">
        <f t="shared" si="20"/>
        <v>-4.173160945904419</v>
      </c>
      <c r="G329" s="7">
        <f t="shared" si="21"/>
        <v>17.415272280421863</v>
      </c>
    </row>
    <row r="330" spans="1:7">
      <c r="A330" s="7">
        <v>329</v>
      </c>
      <c r="B330" s="7">
        <v>69.888852170000007</v>
      </c>
      <c r="C330" s="7"/>
      <c r="D330" s="15">
        <f t="shared" si="22"/>
        <v>-6.754675770007168E-2</v>
      </c>
      <c r="E330" s="7">
        <f t="shared" si="23"/>
        <v>4.1314293364453745</v>
      </c>
      <c r="F330" s="7">
        <f t="shared" si="20"/>
        <v>-4.1989760941454461</v>
      </c>
      <c r="G330" s="7">
        <f t="shared" si="21"/>
        <v>17.631400239204947</v>
      </c>
    </row>
    <row r="331" spans="1:7">
      <c r="A331" s="7">
        <v>330</v>
      </c>
      <c r="B331" s="7">
        <v>71.50601107</v>
      </c>
      <c r="C331" s="7"/>
      <c r="D331" s="15">
        <f t="shared" si="22"/>
        <v>1.5496121422999209</v>
      </c>
      <c r="E331" s="7">
        <f t="shared" si="23"/>
        <v>4.1569863332039914</v>
      </c>
      <c r="F331" s="7">
        <f t="shared" si="20"/>
        <v>-2.6073741909040704</v>
      </c>
      <c r="G331" s="7">
        <f t="shared" si="21"/>
        <v>6.7984001713926556</v>
      </c>
    </row>
    <row r="332" spans="1:7">
      <c r="A332" s="7">
        <v>331</v>
      </c>
      <c r="B332" s="7">
        <v>72.529721739999999</v>
      </c>
      <c r="C332" s="7"/>
      <c r="D332" s="15">
        <f t="shared" si="22"/>
        <v>2.5733228122999208</v>
      </c>
      <c r="E332" s="7">
        <f t="shared" si="23"/>
        <v>2.5813004489950298</v>
      </c>
      <c r="F332" s="7">
        <f t="shared" si="20"/>
        <v>-7.9776366951089805E-3</v>
      </c>
      <c r="G332" s="7">
        <f t="shared" si="21"/>
        <v>6.3642687239149335E-5</v>
      </c>
    </row>
    <row r="333" spans="1:7">
      <c r="A333" s="7">
        <v>332</v>
      </c>
      <c r="B333" s="7">
        <v>70.80745709</v>
      </c>
      <c r="C333" s="7"/>
      <c r="D333" s="15">
        <f t="shared" si="22"/>
        <v>0.85105816229992115</v>
      </c>
      <c r="E333" s="7">
        <f t="shared" si="23"/>
        <v>7.8978603281578911E-3</v>
      </c>
      <c r="F333" s="7">
        <f t="shared" si="20"/>
        <v>0.84316030197176328</v>
      </c>
      <c r="G333" s="7">
        <f t="shared" si="21"/>
        <v>0.71091929482111504</v>
      </c>
    </row>
    <row r="334" spans="1:7">
      <c r="A334" s="7">
        <v>333</v>
      </c>
      <c r="B334" s="7">
        <v>70.03388898</v>
      </c>
      <c r="C334" s="7"/>
      <c r="D334" s="15">
        <f t="shared" si="22"/>
        <v>7.7490052299921786E-2</v>
      </c>
      <c r="E334" s="7">
        <f t="shared" si="23"/>
        <v>-0.8347286989520456</v>
      </c>
      <c r="F334" s="7">
        <f t="shared" si="20"/>
        <v>0.91221875125196739</v>
      </c>
      <c r="G334" s="7">
        <f t="shared" si="21"/>
        <v>0.83214305013569878</v>
      </c>
    </row>
    <row r="335" spans="1:7">
      <c r="A335" s="7">
        <v>334</v>
      </c>
      <c r="B335" s="7">
        <v>68.400012790000005</v>
      </c>
      <c r="C335" s="7"/>
      <c r="D335" s="15">
        <f t="shared" si="22"/>
        <v>-1.5563861377000734</v>
      </c>
      <c r="E335" s="7">
        <f t="shared" si="23"/>
        <v>-0.90309656373944769</v>
      </c>
      <c r="F335" s="7">
        <f t="shared" si="20"/>
        <v>-0.6532895739606257</v>
      </c>
      <c r="G335" s="7">
        <f t="shared" si="21"/>
        <v>0.42678726744565582</v>
      </c>
    </row>
    <row r="336" spans="1:7">
      <c r="A336" s="7">
        <v>335</v>
      </c>
      <c r="B336" s="7">
        <v>68.71786487</v>
      </c>
      <c r="C336" s="7"/>
      <c r="D336" s="15">
        <f t="shared" si="22"/>
        <v>-1.238534057700079</v>
      </c>
      <c r="E336" s="7">
        <f t="shared" si="23"/>
        <v>0.64675667822101945</v>
      </c>
      <c r="F336" s="7">
        <f t="shared" si="20"/>
        <v>-1.8852907359210984</v>
      </c>
      <c r="G336" s="7">
        <f t="shared" si="21"/>
        <v>3.5543211589499166</v>
      </c>
    </row>
    <row r="337" spans="1:7">
      <c r="A337" s="7">
        <v>336</v>
      </c>
      <c r="B337" s="7">
        <v>68.870424689999993</v>
      </c>
      <c r="C337" s="7"/>
      <c r="D337" s="15">
        <f t="shared" si="22"/>
        <v>-1.0859742377000856</v>
      </c>
      <c r="E337" s="7">
        <f t="shared" si="23"/>
        <v>1.8664378285618874</v>
      </c>
      <c r="F337" s="7">
        <f t="shared" si="20"/>
        <v>-2.9524120662619731</v>
      </c>
      <c r="G337" s="7">
        <f t="shared" si="21"/>
        <v>8.716737009009293</v>
      </c>
    </row>
    <row r="338" spans="1:7">
      <c r="A338" s="7">
        <v>337</v>
      </c>
      <c r="B338" s="7">
        <v>68.700063599999993</v>
      </c>
      <c r="C338" s="7"/>
      <c r="D338" s="15">
        <f t="shared" si="22"/>
        <v>-1.2563353277000857</v>
      </c>
      <c r="E338" s="7">
        <f t="shared" si="23"/>
        <v>2.9228879455993533</v>
      </c>
      <c r="F338" s="7">
        <f t="shared" si="20"/>
        <v>-4.1792232732994385</v>
      </c>
      <c r="G338" s="7">
        <f t="shared" si="21"/>
        <v>17.465907168087675</v>
      </c>
    </row>
    <row r="339" spans="1:7">
      <c r="A339" s="7">
        <v>338</v>
      </c>
      <c r="B339" s="7">
        <v>71.240487470000005</v>
      </c>
      <c r="C339" s="7"/>
      <c r="D339" s="15">
        <f t="shared" si="22"/>
        <v>1.2840885422999264</v>
      </c>
      <c r="E339" s="7">
        <f t="shared" si="23"/>
        <v>4.1374310405664438</v>
      </c>
      <c r="F339" s="7">
        <f t="shared" si="20"/>
        <v>-2.8533424982665174</v>
      </c>
      <c r="G339" s="7">
        <f t="shared" si="21"/>
        <v>8.1415634124138112</v>
      </c>
    </row>
    <row r="340" spans="1:7">
      <c r="A340" s="7">
        <v>339</v>
      </c>
      <c r="B340" s="7">
        <v>70.341986739999996</v>
      </c>
      <c r="C340" s="7"/>
      <c r="D340" s="15">
        <f t="shared" si="22"/>
        <v>0.38558781229991723</v>
      </c>
      <c r="E340" s="7">
        <f t="shared" si="23"/>
        <v>2.8248090732838524</v>
      </c>
      <c r="F340" s="7">
        <f t="shared" si="20"/>
        <v>-2.4392212609839352</v>
      </c>
      <c r="G340" s="7">
        <f t="shared" si="21"/>
        <v>5.9498003600360594</v>
      </c>
    </row>
    <row r="341" spans="1:7">
      <c r="A341" s="7">
        <v>340</v>
      </c>
      <c r="B341" s="7">
        <v>69.301439900000005</v>
      </c>
      <c r="C341" s="7"/>
      <c r="D341" s="15">
        <f t="shared" si="22"/>
        <v>-0.65495902770007319</v>
      </c>
      <c r="E341" s="7">
        <f t="shared" si="23"/>
        <v>2.414829048374096</v>
      </c>
      <c r="F341" s="7">
        <f t="shared" si="20"/>
        <v>-3.0697880760741691</v>
      </c>
      <c r="G341" s="7">
        <f t="shared" si="21"/>
        <v>9.4235988320071495</v>
      </c>
    </row>
    <row r="342" spans="1:7">
      <c r="A342" s="7">
        <v>341</v>
      </c>
      <c r="B342" s="7">
        <v>69.844116700000001</v>
      </c>
      <c r="C342" s="7"/>
      <c r="D342" s="15">
        <f t="shared" si="22"/>
        <v>-0.1122822277000779</v>
      </c>
      <c r="E342" s="7">
        <f t="shared" si="23"/>
        <v>3.0390901953134275</v>
      </c>
      <c r="F342" s="7">
        <f t="shared" si="20"/>
        <v>-3.1513724230135054</v>
      </c>
      <c r="G342" s="7">
        <f t="shared" si="21"/>
        <v>9.9311481485300117</v>
      </c>
    </row>
    <row r="343" spans="1:7">
      <c r="A343" s="7">
        <v>342</v>
      </c>
      <c r="B343" s="7">
        <v>71.413863320000004</v>
      </c>
      <c r="C343" s="7"/>
      <c r="D343" s="15">
        <f t="shared" si="22"/>
        <v>1.4574643922999257</v>
      </c>
      <c r="E343" s="7">
        <f t="shared" si="23"/>
        <v>3.1198586987833705</v>
      </c>
      <c r="F343" s="7">
        <f t="shared" si="20"/>
        <v>-1.6623943064834448</v>
      </c>
      <c r="G343" s="7">
        <f t="shared" si="21"/>
        <v>2.7635548302285735</v>
      </c>
    </row>
    <row r="344" spans="1:7">
      <c r="A344" s="7">
        <v>343</v>
      </c>
      <c r="B344" s="7">
        <v>71.376198110000004</v>
      </c>
      <c r="C344" s="7"/>
      <c r="D344" s="15">
        <f t="shared" si="22"/>
        <v>1.4197991822999256</v>
      </c>
      <c r="E344" s="7">
        <f t="shared" si="23"/>
        <v>1.6457703634186103</v>
      </c>
      <c r="F344" s="7">
        <f t="shared" si="20"/>
        <v>-0.22597118111868464</v>
      </c>
      <c r="G344" s="7">
        <f t="shared" si="21"/>
        <v>5.106297469617338E-2</v>
      </c>
    </row>
    <row r="345" spans="1:7">
      <c r="A345" s="7">
        <v>344</v>
      </c>
      <c r="B345" s="7">
        <v>73.160914980000001</v>
      </c>
      <c r="C345" s="7"/>
      <c r="D345" s="15">
        <f t="shared" si="22"/>
        <v>3.2045160522999225</v>
      </c>
      <c r="E345" s="7">
        <f t="shared" si="23"/>
        <v>0.2237114693074978</v>
      </c>
      <c r="F345" s="7">
        <f t="shared" si="20"/>
        <v>2.9808045829924246</v>
      </c>
      <c r="G345" s="7">
        <f t="shared" si="21"/>
        <v>8.8851959619886429</v>
      </c>
    </row>
    <row r="346" spans="1:7">
      <c r="A346" s="7">
        <v>345</v>
      </c>
      <c r="B346" s="7">
        <v>71.409021580000001</v>
      </c>
      <c r="C346" s="7"/>
      <c r="D346" s="15">
        <f t="shared" si="22"/>
        <v>1.4526226522999224</v>
      </c>
      <c r="E346" s="7">
        <f t="shared" si="23"/>
        <v>-2.9509965371625002</v>
      </c>
      <c r="F346" s="7">
        <f t="shared" si="20"/>
        <v>4.4036191894624226</v>
      </c>
      <c r="G346" s="7">
        <f t="shared" si="21"/>
        <v>19.391861965801684</v>
      </c>
    </row>
    <row r="347" spans="1:7">
      <c r="A347" s="7">
        <v>346</v>
      </c>
      <c r="B347" s="7">
        <v>70.155854890000001</v>
      </c>
      <c r="C347" s="7"/>
      <c r="D347" s="15">
        <f t="shared" si="22"/>
        <v>0.19945596229992191</v>
      </c>
      <c r="E347" s="7">
        <f t="shared" si="23"/>
        <v>-4.3595829975677987</v>
      </c>
      <c r="F347" s="7">
        <f t="shared" si="20"/>
        <v>4.5590389598677206</v>
      </c>
      <c r="G347" s="7">
        <f t="shared" si="21"/>
        <v>20.784836237591747</v>
      </c>
    </row>
    <row r="348" spans="1:7">
      <c r="A348" s="7">
        <v>347</v>
      </c>
      <c r="B348" s="7">
        <v>69.946407140000005</v>
      </c>
      <c r="C348" s="7"/>
      <c r="D348" s="15">
        <f t="shared" si="22"/>
        <v>-9.9917877000734734E-3</v>
      </c>
      <c r="E348" s="7">
        <f t="shared" si="23"/>
        <v>-4.513448570269043</v>
      </c>
      <c r="F348" s="7">
        <f t="shared" si="20"/>
        <v>4.5034567825689695</v>
      </c>
      <c r="G348" s="7">
        <f t="shared" si="21"/>
        <v>20.281122992466454</v>
      </c>
    </row>
    <row r="349" spans="1:7">
      <c r="A349" s="7">
        <v>348</v>
      </c>
      <c r="B349" s="7">
        <v>71.356137200000006</v>
      </c>
      <c r="C349" s="7"/>
      <c r="D349" s="15">
        <f t="shared" si="22"/>
        <v>1.3997382722999276</v>
      </c>
      <c r="E349" s="7">
        <f t="shared" si="23"/>
        <v>-4.4584222147432797</v>
      </c>
      <c r="F349" s="7">
        <f t="shared" si="20"/>
        <v>5.8581604870432074</v>
      </c>
      <c r="G349" s="7">
        <f t="shared" si="21"/>
        <v>34.318044291954308</v>
      </c>
    </row>
    <row r="350" spans="1:7">
      <c r="A350" s="7">
        <v>349</v>
      </c>
      <c r="B350" s="7">
        <v>71.336999129999995</v>
      </c>
      <c r="C350" s="7"/>
      <c r="D350" s="15">
        <f t="shared" si="22"/>
        <v>1.3806002022999166</v>
      </c>
      <c r="E350" s="7">
        <f t="shared" si="23"/>
        <v>-5.7995788821727752</v>
      </c>
      <c r="F350" s="7">
        <f t="shared" si="20"/>
        <v>7.1801790844726918</v>
      </c>
      <c r="G350" s="7">
        <f t="shared" si="21"/>
        <v>51.554971685099105</v>
      </c>
    </row>
    <row r="351" spans="1:7">
      <c r="A351" s="7">
        <v>350</v>
      </c>
      <c r="B351" s="7">
        <v>70.279128619999994</v>
      </c>
      <c r="C351" s="7"/>
      <c r="D351" s="15">
        <f t="shared" si="22"/>
        <v>0.32272969229991588</v>
      </c>
      <c r="E351" s="7">
        <f t="shared" si="23"/>
        <v>-7.1083772936279646</v>
      </c>
      <c r="F351" s="7">
        <f t="shared" si="20"/>
        <v>7.4311069859278804</v>
      </c>
      <c r="G351" s="7">
        <f t="shared" si="21"/>
        <v>55.221351036306146</v>
      </c>
    </row>
    <row r="352" spans="1:7">
      <c r="A352" s="7">
        <v>351</v>
      </c>
      <c r="B352" s="7">
        <v>68.81888884</v>
      </c>
      <c r="C352" s="7"/>
      <c r="D352" s="15">
        <f t="shared" si="22"/>
        <v>-1.137510087700079</v>
      </c>
      <c r="E352" s="7">
        <f t="shared" si="23"/>
        <v>-7.3567959160686014</v>
      </c>
      <c r="F352" s="7">
        <f t="shared" si="20"/>
        <v>6.2192858283685224</v>
      </c>
      <c r="G352" s="7">
        <f t="shared" si="21"/>
        <v>38.679516214945536</v>
      </c>
    </row>
    <row r="353" spans="1:7">
      <c r="A353" s="7">
        <v>352</v>
      </c>
      <c r="B353" s="7">
        <v>69.452038169999994</v>
      </c>
      <c r="C353" s="7"/>
      <c r="D353" s="15">
        <f t="shared" si="22"/>
        <v>-0.50436075770008415</v>
      </c>
      <c r="E353" s="7">
        <f t="shared" si="23"/>
        <v>-6.1570929700848369</v>
      </c>
      <c r="F353" s="7">
        <f t="shared" si="20"/>
        <v>5.6527322123847528</v>
      </c>
      <c r="G353" s="7">
        <f t="shared" si="21"/>
        <v>31.953381464932221</v>
      </c>
    </row>
    <row r="354" spans="1:7">
      <c r="A354" s="7">
        <v>353</v>
      </c>
      <c r="B354" s="7">
        <v>71.426901079999993</v>
      </c>
      <c r="C354" s="7"/>
      <c r="D354" s="15">
        <f t="shared" si="22"/>
        <v>1.4705021522999147</v>
      </c>
      <c r="E354" s="7">
        <f t="shared" si="23"/>
        <v>-5.5962048902609052</v>
      </c>
      <c r="F354" s="7">
        <f t="shared" si="20"/>
        <v>7.0667070425608198</v>
      </c>
      <c r="G354" s="7">
        <f t="shared" si="21"/>
        <v>49.938348425378692</v>
      </c>
    </row>
    <row r="355" spans="1:7">
      <c r="A355" s="7">
        <v>354</v>
      </c>
      <c r="B355" s="7">
        <v>70.610147400000002</v>
      </c>
      <c r="C355" s="7"/>
      <c r="D355" s="15">
        <f t="shared" si="22"/>
        <v>0.65374847229992383</v>
      </c>
      <c r="E355" s="7">
        <f t="shared" si="23"/>
        <v>-6.996039972135212</v>
      </c>
      <c r="F355" s="7">
        <f t="shared" si="20"/>
        <v>7.6497884444351358</v>
      </c>
      <c r="G355" s="7">
        <f t="shared" si="21"/>
        <v>58.519263244613335</v>
      </c>
    </row>
    <row r="356" spans="1:7">
      <c r="A356" s="7">
        <v>355</v>
      </c>
      <c r="B356" s="7">
        <v>70.466961740000002</v>
      </c>
      <c r="C356" s="7"/>
      <c r="D356" s="15">
        <f t="shared" si="22"/>
        <v>0.51056281229992351</v>
      </c>
      <c r="E356" s="7">
        <f t="shared" si="23"/>
        <v>-7.5732905599907845</v>
      </c>
      <c r="F356" s="7">
        <f t="shared" si="20"/>
        <v>8.083853372290708</v>
      </c>
      <c r="G356" s="7">
        <f t="shared" si="21"/>
        <v>65.348685344695852</v>
      </c>
    </row>
    <row r="357" spans="1:7">
      <c r="A357" s="7">
        <v>356</v>
      </c>
      <c r="B357" s="7">
        <v>70.343280609999994</v>
      </c>
      <c r="C357" s="7"/>
      <c r="D357" s="15">
        <f t="shared" si="22"/>
        <v>0.38688168229991504</v>
      </c>
      <c r="E357" s="7">
        <f t="shared" si="23"/>
        <v>-8.0030148385678004</v>
      </c>
      <c r="F357" s="7">
        <f t="shared" si="20"/>
        <v>8.3898965208677154</v>
      </c>
      <c r="G357" s="7">
        <f t="shared" si="21"/>
        <v>70.390363630868194</v>
      </c>
    </row>
    <row r="358" spans="1:7">
      <c r="A358" s="7">
        <v>357</v>
      </c>
      <c r="B358" s="7">
        <v>70.929399500000002</v>
      </c>
      <c r="C358" s="7"/>
      <c r="D358" s="15">
        <f t="shared" si="22"/>
        <v>0.97300057229992376</v>
      </c>
      <c r="E358" s="7">
        <f t="shared" si="23"/>
        <v>-8.3059975556590384</v>
      </c>
      <c r="F358" s="7">
        <f t="shared" si="20"/>
        <v>9.2789981279589622</v>
      </c>
      <c r="G358" s="7">
        <f t="shared" si="21"/>
        <v>86.099806258665922</v>
      </c>
    </row>
    <row r="359" spans="1:7">
      <c r="A359" s="7">
        <v>358</v>
      </c>
      <c r="B359" s="7">
        <v>69.649901779999993</v>
      </c>
      <c r="C359" s="7"/>
      <c r="D359" s="15">
        <f t="shared" si="22"/>
        <v>-0.30649714770008529</v>
      </c>
      <c r="E359" s="7">
        <f t="shared" si="23"/>
        <v>-9.1862081466793732</v>
      </c>
      <c r="F359" s="7">
        <f t="shared" si="20"/>
        <v>8.879710998979288</v>
      </c>
      <c r="G359" s="7">
        <f t="shared" si="21"/>
        <v>78.849267425393748</v>
      </c>
    </row>
    <row r="360" spans="1:7">
      <c r="A360" s="7">
        <v>359</v>
      </c>
      <c r="B360" s="7">
        <v>71.857768250000007</v>
      </c>
      <c r="C360" s="7"/>
      <c r="D360" s="15">
        <f t="shared" si="22"/>
        <v>1.9013693222999279</v>
      </c>
      <c r="E360" s="7">
        <f t="shared" si="23"/>
        <v>-8.7909138889894951</v>
      </c>
      <c r="F360" s="7">
        <f t="shared" si="20"/>
        <v>10.692283211289423</v>
      </c>
      <c r="G360" s="7">
        <f t="shared" si="21"/>
        <v>114.32492027042166</v>
      </c>
    </row>
    <row r="361" spans="1:7">
      <c r="A361" s="7">
        <v>360</v>
      </c>
      <c r="B361" s="7">
        <v>69.940529310000002</v>
      </c>
      <c r="C361" s="7"/>
      <c r="D361" s="15">
        <f t="shared" si="22"/>
        <v>-1.5869617700076333E-2</v>
      </c>
      <c r="E361" s="7">
        <f t="shared" si="23"/>
        <v>-10.585360379176528</v>
      </c>
      <c r="F361" s="7">
        <f t="shared" si="20"/>
        <v>10.569490761476452</v>
      </c>
      <c r="G361" s="7">
        <f t="shared" si="21"/>
        <v>111.71413495693606</v>
      </c>
    </row>
    <row r="362" spans="1:7">
      <c r="A362" s="7">
        <v>361</v>
      </c>
      <c r="B362" s="7">
        <v>69.041436020000006</v>
      </c>
      <c r="C362" s="7"/>
      <c r="D362" s="15">
        <f t="shared" si="22"/>
        <v>-0.91496290770007249</v>
      </c>
      <c r="E362" s="7">
        <f t="shared" si="23"/>
        <v>-10.463795853861686</v>
      </c>
      <c r="F362" s="7">
        <f t="shared" si="20"/>
        <v>9.5488329461616139</v>
      </c>
      <c r="G362" s="7">
        <f t="shared" si="21"/>
        <v>91.180210633701492</v>
      </c>
    </row>
    <row r="363" spans="1:7">
      <c r="A363" s="7">
        <v>362</v>
      </c>
      <c r="B363" s="7">
        <v>70.380795359999993</v>
      </c>
      <c r="C363" s="7"/>
      <c r="D363" s="15">
        <f t="shared" si="22"/>
        <v>0.42439643229991475</v>
      </c>
      <c r="E363" s="7">
        <f t="shared" si="23"/>
        <v>-9.4533446166999973</v>
      </c>
      <c r="F363" s="7">
        <f t="shared" si="20"/>
        <v>9.877741048999912</v>
      </c>
      <c r="G363" s="7">
        <f t="shared" si="21"/>
        <v>97.569768231097882</v>
      </c>
    </row>
    <row r="364" spans="1:7">
      <c r="A364" s="7">
        <v>363</v>
      </c>
      <c r="B364" s="7">
        <v>70.812779579999997</v>
      </c>
      <c r="C364" s="7"/>
      <c r="D364" s="15">
        <f t="shared" si="22"/>
        <v>0.85638065229991867</v>
      </c>
      <c r="E364" s="7">
        <f t="shared" si="23"/>
        <v>-9.7789636385099126</v>
      </c>
      <c r="F364" s="7">
        <f t="shared" si="20"/>
        <v>10.635344290809831</v>
      </c>
      <c r="G364" s="7">
        <f t="shared" si="21"/>
        <v>113.11054818406127</v>
      </c>
    </row>
    <row r="365" spans="1:7">
      <c r="A365" s="7">
        <v>364</v>
      </c>
      <c r="B365" s="7">
        <v>71.203415300000003</v>
      </c>
      <c r="C365" s="7"/>
      <c r="D365" s="15">
        <f t="shared" si="22"/>
        <v>1.2470163722999246</v>
      </c>
      <c r="E365" s="7">
        <f t="shared" si="23"/>
        <v>-10.528990847901733</v>
      </c>
      <c r="F365" s="7">
        <f t="shared" si="20"/>
        <v>11.776007220201658</v>
      </c>
      <c r="G365" s="7">
        <f t="shared" si="21"/>
        <v>138.67434605024158</v>
      </c>
    </row>
    <row r="366" spans="1:7">
      <c r="A366" s="7">
        <v>365</v>
      </c>
      <c r="B366" s="7">
        <v>69.982112970000003</v>
      </c>
      <c r="C366" s="7"/>
      <c r="D366" s="15">
        <f t="shared" si="22"/>
        <v>2.5714042299924245E-2</v>
      </c>
      <c r="E366" s="7">
        <f t="shared" si="23"/>
        <v>-11.65824714799964</v>
      </c>
      <c r="F366" s="7">
        <f t="shared" si="20"/>
        <v>11.683961190299565</v>
      </c>
      <c r="G366" s="7">
        <f t="shared" si="21"/>
        <v>136.51494909642642</v>
      </c>
    </row>
    <row r="367" spans="1:7">
      <c r="A367" s="7">
        <v>366</v>
      </c>
      <c r="B367" s="7">
        <v>69.553438209999996</v>
      </c>
      <c r="C367" s="7"/>
      <c r="D367" s="15">
        <f t="shared" si="22"/>
        <v>-0.40296071770008268</v>
      </c>
      <c r="E367" s="7">
        <f t="shared" si="23"/>
        <v>-11.567121578396568</v>
      </c>
      <c r="F367" s="7">
        <f t="shared" si="20"/>
        <v>11.164160860696485</v>
      </c>
      <c r="G367" s="7">
        <f t="shared" si="21"/>
        <v>124.6384877235073</v>
      </c>
    </row>
    <row r="368" spans="1:7">
      <c r="A368" s="7">
        <v>367</v>
      </c>
      <c r="B368" s="7">
        <v>69.749661020000005</v>
      </c>
      <c r="C368" s="7"/>
      <c r="D368" s="15">
        <f t="shared" si="22"/>
        <v>-0.20673790770007372</v>
      </c>
      <c r="E368" s="7">
        <f t="shared" si="23"/>
        <v>-11.052519252089521</v>
      </c>
      <c r="F368" s="7">
        <f t="shared" si="20"/>
        <v>10.845781344389447</v>
      </c>
      <c r="G368" s="7">
        <f t="shared" si="21"/>
        <v>117.63097297030616</v>
      </c>
    </row>
    <row r="369" spans="1:7">
      <c r="A369" s="7">
        <v>368</v>
      </c>
      <c r="B369" s="7">
        <v>71.55302476</v>
      </c>
      <c r="C369" s="7"/>
      <c r="D369" s="15">
        <f t="shared" si="22"/>
        <v>1.5966258322999209</v>
      </c>
      <c r="E369" s="7">
        <f t="shared" si="23"/>
        <v>-10.737323530945552</v>
      </c>
      <c r="F369" s="7">
        <f t="shared" si="20"/>
        <v>12.333949363245473</v>
      </c>
      <c r="G369" s="7">
        <f t="shared" si="21"/>
        <v>152.12630689510343</v>
      </c>
    </row>
    <row r="370" spans="1:7">
      <c r="A370" s="7">
        <v>369</v>
      </c>
      <c r="B370" s="7">
        <v>71.697345580000004</v>
      </c>
      <c r="C370" s="7"/>
      <c r="D370" s="15">
        <f t="shared" si="22"/>
        <v>1.7409466522999253</v>
      </c>
      <c r="E370" s="7">
        <f t="shared" si="23"/>
        <v>-12.210609869613018</v>
      </c>
      <c r="F370" s="7">
        <f t="shared" si="20"/>
        <v>13.951556521912943</v>
      </c>
      <c r="G370" s="7">
        <f t="shared" si="21"/>
        <v>194.64592938413159</v>
      </c>
    </row>
    <row r="371" spans="1:7">
      <c r="A371" s="7">
        <v>370</v>
      </c>
      <c r="B371" s="7">
        <v>71.349172030000005</v>
      </c>
      <c r="C371" s="7"/>
      <c r="D371" s="15">
        <f t="shared" si="22"/>
        <v>1.3927731022999268</v>
      </c>
      <c r="E371" s="7">
        <f t="shared" si="23"/>
        <v>-13.812040956693814</v>
      </c>
      <c r="F371" s="7">
        <f t="shared" si="20"/>
        <v>15.20481405899374</v>
      </c>
      <c r="G371" s="7">
        <f t="shared" si="21"/>
        <v>231.18637056857369</v>
      </c>
    </row>
    <row r="372" spans="1:7">
      <c r="A372" s="7">
        <v>371</v>
      </c>
      <c r="B372" s="7">
        <v>69.642373449999994</v>
      </c>
      <c r="C372" s="7"/>
      <c r="D372" s="15">
        <f t="shared" si="22"/>
        <v>-0.31402547770008482</v>
      </c>
      <c r="E372" s="7">
        <f t="shared" si="23"/>
        <v>-15.052765918403804</v>
      </c>
      <c r="F372" s="7">
        <f t="shared" si="20"/>
        <v>14.738740440703719</v>
      </c>
      <c r="G372" s="7">
        <f t="shared" si="21"/>
        <v>217.23046977843526</v>
      </c>
    </row>
    <row r="373" spans="1:7">
      <c r="A373" s="7">
        <v>372</v>
      </c>
      <c r="B373" s="7">
        <v>70.349555100000003</v>
      </c>
      <c r="C373" s="7"/>
      <c r="D373" s="15">
        <f t="shared" si="22"/>
        <v>0.39315617229992483</v>
      </c>
      <c r="E373" s="7">
        <f t="shared" si="23"/>
        <v>-14.591353036296681</v>
      </c>
      <c r="F373" s="7">
        <f t="shared" si="20"/>
        <v>14.984509208596606</v>
      </c>
      <c r="G373" s="7">
        <f t="shared" si="21"/>
        <v>224.53551622251649</v>
      </c>
    </row>
    <row r="374" spans="1:7">
      <c r="A374" s="7">
        <v>373</v>
      </c>
      <c r="B374" s="7">
        <v>70.542602689999995</v>
      </c>
      <c r="C374" s="7"/>
      <c r="D374" s="15">
        <f t="shared" si="22"/>
        <v>0.58620376229991678</v>
      </c>
      <c r="E374" s="7">
        <f t="shared" si="23"/>
        <v>-14.834664116510639</v>
      </c>
      <c r="F374" s="7">
        <f t="shared" si="20"/>
        <v>15.420867878810556</v>
      </c>
      <c r="G374" s="7">
        <f t="shared" si="21"/>
        <v>237.80316613573117</v>
      </c>
    </row>
    <row r="375" spans="1:7">
      <c r="A375" s="7">
        <v>374</v>
      </c>
      <c r="B375" s="7">
        <v>71.609840399999996</v>
      </c>
      <c r="C375" s="7"/>
      <c r="D375" s="15">
        <f t="shared" si="22"/>
        <v>1.6534414722999173</v>
      </c>
      <c r="E375" s="7">
        <f t="shared" si="23"/>
        <v>-15.266659200022451</v>
      </c>
      <c r="F375" s="7">
        <f t="shared" si="20"/>
        <v>16.92010067232237</v>
      </c>
      <c r="G375" s="7">
        <f t="shared" si="21"/>
        <v>286.28980676152389</v>
      </c>
    </row>
    <row r="376" spans="1:7">
      <c r="A376" s="7">
        <v>375</v>
      </c>
      <c r="B376" s="7">
        <v>72.817183589999999</v>
      </c>
      <c r="C376" s="7"/>
      <c r="D376" s="15">
        <f t="shared" si="22"/>
        <v>2.8607846622999205</v>
      </c>
      <c r="E376" s="7">
        <f t="shared" si="23"/>
        <v>-16.750899665599146</v>
      </c>
      <c r="F376" s="7">
        <f t="shared" si="20"/>
        <v>19.611684327899066</v>
      </c>
      <c r="G376" s="7">
        <f t="shared" si="21"/>
        <v>384.61816217716188</v>
      </c>
    </row>
    <row r="377" spans="1:7">
      <c r="A377" s="7">
        <v>376</v>
      </c>
      <c r="B377" s="7">
        <v>70.900592259999996</v>
      </c>
      <c r="C377" s="7"/>
      <c r="D377" s="15">
        <f t="shared" si="22"/>
        <v>0.94419333229991764</v>
      </c>
      <c r="E377" s="7">
        <f t="shared" si="23"/>
        <v>-19.415567484620077</v>
      </c>
      <c r="F377" s="7">
        <f t="shared" si="20"/>
        <v>20.359760816919994</v>
      </c>
      <c r="G377" s="7">
        <f t="shared" si="21"/>
        <v>414.5198605221907</v>
      </c>
    </row>
    <row r="378" spans="1:7">
      <c r="A378" s="7">
        <v>377</v>
      </c>
      <c r="B378" s="7">
        <v>69.288897149999997</v>
      </c>
      <c r="C378" s="7"/>
      <c r="D378" s="15">
        <f t="shared" si="22"/>
        <v>-0.66750177770008179</v>
      </c>
      <c r="E378" s="7">
        <f t="shared" si="23"/>
        <v>-20.156163208750794</v>
      </c>
      <c r="F378" s="7">
        <f t="shared" si="20"/>
        <v>19.488661431050712</v>
      </c>
      <c r="G378" s="7">
        <f t="shared" si="21"/>
        <v>379.80792437412356</v>
      </c>
    </row>
    <row r="379" spans="1:7">
      <c r="A379" s="7">
        <v>378</v>
      </c>
      <c r="B379" s="7">
        <v>68.439115619999995</v>
      </c>
      <c r="C379" s="7"/>
      <c r="D379" s="15">
        <f t="shared" si="22"/>
        <v>-1.5172833077000831</v>
      </c>
      <c r="E379" s="7">
        <f t="shared" si="23"/>
        <v>-19.293774816740203</v>
      </c>
      <c r="F379" s="7">
        <f t="shared" si="20"/>
        <v>17.77649150904012</v>
      </c>
      <c r="G379" s="7">
        <f t="shared" si="21"/>
        <v>316.00365037097549</v>
      </c>
    </row>
    <row r="380" spans="1:7">
      <c r="A380" s="7">
        <v>379</v>
      </c>
      <c r="B380" s="7">
        <v>69.133220719999997</v>
      </c>
      <c r="C380" s="7"/>
      <c r="D380" s="15">
        <f t="shared" si="22"/>
        <v>-0.82317820770008154</v>
      </c>
      <c r="E380" s="7">
        <f t="shared" si="23"/>
        <v>-17.598726593949721</v>
      </c>
      <c r="F380" s="7">
        <f t="shared" si="20"/>
        <v>16.775548386249639</v>
      </c>
      <c r="G380" s="7">
        <f t="shared" si="21"/>
        <v>281.41902365940285</v>
      </c>
    </row>
    <row r="381" spans="1:7">
      <c r="A381" s="7">
        <v>380</v>
      </c>
      <c r="B381" s="7">
        <v>69.566172289999997</v>
      </c>
      <c r="C381" s="7"/>
      <c r="D381" s="15">
        <f t="shared" si="22"/>
        <v>-0.39022663770008137</v>
      </c>
      <c r="E381" s="7">
        <f t="shared" si="23"/>
        <v>-16.607792902387143</v>
      </c>
      <c r="F381" s="7">
        <f t="shared" si="20"/>
        <v>16.217566264687061</v>
      </c>
      <c r="G381" s="7">
        <f t="shared" si="21"/>
        <v>263.00945554951585</v>
      </c>
    </row>
    <row r="382" spans="1:7">
      <c r="A382" s="7">
        <v>381</v>
      </c>
      <c r="B382" s="7">
        <v>70.359241560000001</v>
      </c>
      <c r="C382" s="7"/>
      <c r="D382" s="15">
        <f t="shared" si="22"/>
        <v>0.40284263229992234</v>
      </c>
      <c r="E382" s="7">
        <f t="shared" si="23"/>
        <v>-16.055390602040191</v>
      </c>
      <c r="F382" s="7">
        <f t="shared" si="20"/>
        <v>16.458233234340113</v>
      </c>
      <c r="G382" s="7">
        <f t="shared" si="21"/>
        <v>270.8734411959374</v>
      </c>
    </row>
    <row r="383" spans="1:7">
      <c r="A383" s="7">
        <v>382</v>
      </c>
      <c r="B383" s="7">
        <v>70.201126430000002</v>
      </c>
      <c r="C383" s="7"/>
      <c r="D383" s="15">
        <f t="shared" si="22"/>
        <v>0.24472750229992357</v>
      </c>
      <c r="E383" s="7">
        <f t="shared" si="23"/>
        <v>-16.293650901996713</v>
      </c>
      <c r="F383" s="7">
        <f t="shared" si="20"/>
        <v>16.538378404296637</v>
      </c>
      <c r="G383" s="7">
        <f t="shared" si="21"/>
        <v>273.51796024370537</v>
      </c>
    </row>
    <row r="384" spans="1:7">
      <c r="A384" s="7">
        <v>383</v>
      </c>
      <c r="B384" s="7">
        <v>69.651304109999998</v>
      </c>
      <c r="C384" s="7"/>
      <c r="D384" s="15">
        <f t="shared" si="22"/>
        <v>-0.30509481770008051</v>
      </c>
      <c r="E384" s="7">
        <f t="shared" si="23"/>
        <v>-16.372994620253671</v>
      </c>
      <c r="F384" s="7">
        <f t="shared" si="20"/>
        <v>16.06789980255359</v>
      </c>
      <c r="G384" s="7">
        <f t="shared" si="21"/>
        <v>258.17740406490174</v>
      </c>
    </row>
    <row r="385" spans="1:7">
      <c r="A385" s="7">
        <v>384</v>
      </c>
      <c r="B385" s="7">
        <v>70.795029670000005</v>
      </c>
      <c r="C385" s="7"/>
      <c r="D385" s="15">
        <f t="shared" si="22"/>
        <v>0.83863074229992662</v>
      </c>
      <c r="E385" s="7">
        <f t="shared" si="23"/>
        <v>-15.907220804528054</v>
      </c>
      <c r="F385" s="7">
        <f t="shared" si="20"/>
        <v>16.745851546827978</v>
      </c>
      <c r="G385" s="7">
        <f t="shared" si="21"/>
        <v>280.42354402840101</v>
      </c>
    </row>
    <row r="386" spans="1:7">
      <c r="A386" s="7">
        <v>385</v>
      </c>
      <c r="B386" s="7">
        <v>69.643746340000007</v>
      </c>
      <c r="C386" s="7"/>
      <c r="D386" s="15">
        <f t="shared" si="22"/>
        <v>-0.31265258770007165</v>
      </c>
      <c r="E386" s="7">
        <f t="shared" si="23"/>
        <v>-16.578393031359699</v>
      </c>
      <c r="F386" s="7">
        <f t="shared" ref="F386:F449" si="24">D386-E386</f>
        <v>16.265740443659627</v>
      </c>
      <c r="G386" s="7">
        <f t="shared" ref="G386:G449" si="25">F386^2</f>
        <v>264.57431218050448</v>
      </c>
    </row>
    <row r="387" spans="1:7">
      <c r="A387" s="7">
        <v>386</v>
      </c>
      <c r="B387" s="7">
        <v>69.98084686</v>
      </c>
      <c r="C387" s="7"/>
      <c r="D387" s="15">
        <f t="shared" ref="D387:D401" si="26">B387-$C$2</f>
        <v>2.4447932299921149E-2</v>
      </c>
      <c r="E387" s="7">
        <f t="shared" ref="E387:E401" si="27">-0.99*F386</f>
        <v>-16.10308303922303</v>
      </c>
      <c r="F387" s="7">
        <f t="shared" si="24"/>
        <v>16.127530971522951</v>
      </c>
      <c r="G387" s="7">
        <f t="shared" si="25"/>
        <v>260.09725523743202</v>
      </c>
    </row>
    <row r="388" spans="1:7">
      <c r="A388" s="7">
        <v>387</v>
      </c>
      <c r="B388" s="7">
        <v>69.689442479999997</v>
      </c>
      <c r="C388" s="7"/>
      <c r="D388" s="15">
        <f t="shared" si="26"/>
        <v>-0.26695644770008187</v>
      </c>
      <c r="E388" s="7">
        <f t="shared" si="27"/>
        <v>-15.966255661807722</v>
      </c>
      <c r="F388" s="7">
        <f t="shared" si="24"/>
        <v>15.69929921410764</v>
      </c>
      <c r="G388" s="7">
        <f t="shared" si="25"/>
        <v>246.46799581408075</v>
      </c>
    </row>
    <row r="389" spans="1:7">
      <c r="A389" s="7">
        <v>388</v>
      </c>
      <c r="B389" s="7">
        <v>70.543779939999993</v>
      </c>
      <c r="C389" s="7"/>
      <c r="D389" s="15">
        <f t="shared" si="26"/>
        <v>0.58738101229991457</v>
      </c>
      <c r="E389" s="7">
        <f t="shared" si="27"/>
        <v>-15.542306221966564</v>
      </c>
      <c r="F389" s="7">
        <f t="shared" si="24"/>
        <v>16.129687234266477</v>
      </c>
      <c r="G389" s="7">
        <f t="shared" si="25"/>
        <v>260.16681027525897</v>
      </c>
    </row>
    <row r="390" spans="1:7">
      <c r="A390" s="7">
        <v>389</v>
      </c>
      <c r="B390" s="7">
        <v>71.804696759999999</v>
      </c>
      <c r="C390" s="7"/>
      <c r="D390" s="15">
        <f t="shared" si="26"/>
        <v>1.8482978322999202</v>
      </c>
      <c r="E390" s="7">
        <f t="shared" si="27"/>
        <v>-15.968390361923811</v>
      </c>
      <c r="F390" s="7">
        <f t="shared" si="24"/>
        <v>17.81668819422373</v>
      </c>
      <c r="G390" s="7">
        <f t="shared" si="25"/>
        <v>317.4343782101912</v>
      </c>
    </row>
    <row r="391" spans="1:7">
      <c r="A391" s="7">
        <v>390</v>
      </c>
      <c r="B391" s="7">
        <v>70.616585819999997</v>
      </c>
      <c r="C391" s="7"/>
      <c r="D391" s="15">
        <f t="shared" si="26"/>
        <v>0.66018689229991878</v>
      </c>
      <c r="E391" s="7">
        <f t="shared" si="27"/>
        <v>-17.638521312281494</v>
      </c>
      <c r="F391" s="7">
        <f t="shared" si="24"/>
        <v>18.298708204581413</v>
      </c>
      <c r="G391" s="7">
        <f t="shared" si="25"/>
        <v>334.84272195641512</v>
      </c>
    </row>
    <row r="392" spans="1:7">
      <c r="A392" s="7">
        <v>391</v>
      </c>
      <c r="B392" s="7">
        <v>70.269575369999998</v>
      </c>
      <c r="C392" s="7"/>
      <c r="D392" s="15">
        <f t="shared" si="26"/>
        <v>0.3131764422999197</v>
      </c>
      <c r="E392" s="7">
        <f t="shared" si="27"/>
        <v>-18.1157211225356</v>
      </c>
      <c r="F392" s="7">
        <f t="shared" si="24"/>
        <v>18.42889756483552</v>
      </c>
      <c r="G392" s="7">
        <f t="shared" si="25"/>
        <v>339.62426545520054</v>
      </c>
    </row>
    <row r="393" spans="1:7">
      <c r="A393" s="7">
        <v>392</v>
      </c>
      <c r="B393" s="7">
        <v>70.155562340000003</v>
      </c>
      <c r="C393" s="7"/>
      <c r="D393" s="15">
        <f t="shared" si="26"/>
        <v>0.1991634122999244</v>
      </c>
      <c r="E393" s="7">
        <f t="shared" si="27"/>
        <v>-18.244608589187166</v>
      </c>
      <c r="F393" s="7">
        <f t="shared" si="24"/>
        <v>18.443772001487091</v>
      </c>
      <c r="G393" s="7">
        <f t="shared" si="25"/>
        <v>340.17272564283911</v>
      </c>
    </row>
    <row r="394" spans="1:7">
      <c r="A394" s="7">
        <v>393</v>
      </c>
      <c r="B394" s="7">
        <v>69.213042389999998</v>
      </c>
      <c r="C394" s="7"/>
      <c r="D394" s="15">
        <f t="shared" si="26"/>
        <v>-0.74335653770008037</v>
      </c>
      <c r="E394" s="7">
        <f t="shared" si="27"/>
        <v>-18.259334281472221</v>
      </c>
      <c r="F394" s="7">
        <f t="shared" si="24"/>
        <v>17.51597774377214</v>
      </c>
      <c r="G394" s="7">
        <f t="shared" si="25"/>
        <v>306.80947632032098</v>
      </c>
    </row>
    <row r="395" spans="1:7">
      <c r="A395" s="7">
        <v>394</v>
      </c>
      <c r="B395" s="7">
        <v>69.721944239999999</v>
      </c>
      <c r="C395" s="7"/>
      <c r="D395" s="15">
        <f t="shared" si="26"/>
        <v>-0.23445468770007949</v>
      </c>
      <c r="E395" s="7">
        <f t="shared" si="27"/>
        <v>-17.34081796633442</v>
      </c>
      <c r="F395" s="7">
        <f t="shared" si="24"/>
        <v>17.10636327863434</v>
      </c>
      <c r="G395" s="7">
        <f t="shared" si="25"/>
        <v>292.62766462060944</v>
      </c>
    </row>
    <row r="396" spans="1:7">
      <c r="A396" s="7">
        <v>395</v>
      </c>
      <c r="B396" s="7">
        <v>70.358374330000004</v>
      </c>
      <c r="C396" s="7"/>
      <c r="D396" s="15">
        <f t="shared" si="26"/>
        <v>0.40197540229992512</v>
      </c>
      <c r="E396" s="7">
        <f t="shared" si="27"/>
        <v>-16.935299645847998</v>
      </c>
      <c r="F396" s="7">
        <f t="shared" si="24"/>
        <v>17.337275048147923</v>
      </c>
      <c r="G396" s="7">
        <f t="shared" si="25"/>
        <v>300.58110609513255</v>
      </c>
    </row>
    <row r="397" spans="1:7">
      <c r="A397" s="7">
        <v>396</v>
      </c>
      <c r="B397" s="7">
        <v>70.711312149999998</v>
      </c>
      <c r="C397" s="7"/>
      <c r="D397" s="15">
        <f t="shared" si="26"/>
        <v>0.75491322229991908</v>
      </c>
      <c r="E397" s="7">
        <f t="shared" si="27"/>
        <v>-17.163902297666443</v>
      </c>
      <c r="F397" s="7">
        <f t="shared" si="24"/>
        <v>17.918815519966362</v>
      </c>
      <c r="G397" s="7">
        <f t="shared" si="25"/>
        <v>321.08394963858734</v>
      </c>
    </row>
    <row r="398" spans="1:7">
      <c r="A398" s="7">
        <v>397</v>
      </c>
      <c r="B398" s="7">
        <v>70.120876089999996</v>
      </c>
      <c r="C398" s="7"/>
      <c r="D398" s="15">
        <f t="shared" si="26"/>
        <v>0.16447716229991727</v>
      </c>
      <c r="E398" s="7">
        <f t="shared" si="27"/>
        <v>-17.739627364766697</v>
      </c>
      <c r="F398" s="7">
        <f t="shared" si="24"/>
        <v>17.904104527066615</v>
      </c>
      <c r="G398" s="7">
        <f t="shared" si="25"/>
        <v>320.55695891612726</v>
      </c>
    </row>
    <row r="399" spans="1:7">
      <c r="A399" s="7">
        <v>398</v>
      </c>
      <c r="B399" s="7">
        <v>69.953324309999999</v>
      </c>
      <c r="C399" s="7"/>
      <c r="D399" s="15">
        <f t="shared" si="26"/>
        <v>-3.0746177000793296E-3</v>
      </c>
      <c r="E399" s="7">
        <f t="shared" si="27"/>
        <v>-17.725063481795949</v>
      </c>
      <c r="F399" s="7">
        <f t="shared" si="24"/>
        <v>17.72198886409587</v>
      </c>
      <c r="G399" s="7">
        <f t="shared" si="25"/>
        <v>314.06888929913805</v>
      </c>
    </row>
    <row r="400" spans="1:7">
      <c r="A400" s="7">
        <v>399</v>
      </c>
      <c r="B400" s="7">
        <v>68.788120809999995</v>
      </c>
      <c r="C400" s="7"/>
      <c r="D400" s="15">
        <f t="shared" si="26"/>
        <v>-1.1682781177000834</v>
      </c>
      <c r="E400" s="7">
        <f t="shared" si="27"/>
        <v>-17.544768975454911</v>
      </c>
      <c r="F400" s="7">
        <f t="shared" si="24"/>
        <v>16.376490857754828</v>
      </c>
      <c r="G400" s="7">
        <f t="shared" si="25"/>
        <v>268.18945281412743</v>
      </c>
    </row>
    <row r="401" spans="1:7">
      <c r="A401" s="7">
        <v>400</v>
      </c>
      <c r="B401" s="7">
        <v>68.928761120000004</v>
      </c>
      <c r="C401" s="7"/>
      <c r="D401" s="15">
        <f t="shared" si="26"/>
        <v>-1.0276378077000743</v>
      </c>
      <c r="E401" s="7">
        <f t="shared" si="27"/>
        <v>-16.21272594917728</v>
      </c>
      <c r="F401" s="7">
        <f t="shared" si="24"/>
        <v>15.185088141477205</v>
      </c>
      <c r="G401" s="7">
        <f t="shared" si="25"/>
        <v>230.58690186443164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era estiana</dc:creator>
  <cp:keywords/>
  <dc:description/>
  <cp:lastModifiedBy/>
  <cp:revision/>
  <dcterms:created xsi:type="dcterms:W3CDTF">2025-10-27T09:05:37Z</dcterms:created>
  <dcterms:modified xsi:type="dcterms:W3CDTF">2026-05-20T16:35:12Z</dcterms:modified>
  <cp:category/>
  <cp:contentStatus/>
</cp:coreProperties>
</file>